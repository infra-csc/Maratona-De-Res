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an.araujo\Downloads\"/>
    </mc:Choice>
  </mc:AlternateContent>
  <xr:revisionPtr revIDLastSave="0" documentId="13_ncr:1_{5DA03D0B-D675-436E-BB9B-08D2EEA663D5}" xr6:coauthVersionLast="47" xr6:coauthVersionMax="47" xr10:uidLastSave="{00000000-0000-0000-0000-000000000000}"/>
  <bookViews>
    <workbookView xWindow="28680" yWindow="2580" windowWidth="21840" windowHeight="13020" firstSheet="13" activeTab="17" xr2:uid="{00000000-000D-0000-FFFF-FFFF00000000}"/>
  </bookViews>
  <sheets>
    <sheet name="INDEX" sheetId="2" state="hidden" r:id="rId1"/>
    <sheet name="Forms" sheetId="1" state="hidden" r:id="rId2"/>
    <sheet name="Ocorrências" sheetId="3" state="hidden" r:id="rId3"/>
    <sheet name="Histórico das Provas" sheetId="4" state="hidden" r:id="rId4"/>
    <sheet name="Matriz modelo" sheetId="9" state="hidden" r:id="rId5"/>
    <sheet name="Matriz" sheetId="8" state="hidden" r:id="rId6"/>
    <sheet name="Tabela" sheetId="20" state="hidden" r:id="rId7"/>
    <sheet name="Pendentes" sheetId="7" state="hidden" r:id="rId8"/>
    <sheet name="Night Maringá" sheetId="22" r:id="rId9"/>
    <sheet name="Vale São Luís" sheetId="23" r:id="rId10"/>
    <sheet name="Trofeu BR" sheetId="24" r:id="rId11"/>
    <sheet name="Inverno Manaus" sheetId="25" r:id="rId12"/>
    <sheet name="Inverno POA" sheetId="26" r:id="rId13"/>
    <sheet name="Petro Bike SP" sheetId="27" r:id="rId14"/>
    <sheet name="Inverno Fortaleza" sheetId="28" r:id="rId15"/>
    <sheet name="Pedalar Recife" sheetId="29" r:id="rId16"/>
    <sheet name="Inverno SJC" sheetId="30" r:id="rId17"/>
    <sheet name="Smart fit RJ" sheetId="31" r:id="rId18"/>
    <sheet name="MODELO" sheetId="21" state="hidden" r:id="rId19"/>
  </sheets>
  <definedNames>
    <definedName name="_xlnm._FilterDatabase" localSheetId="3" hidden="1">'Histórico das Provas'!$A$1:$E$22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1" l="1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3" i="7"/>
  <c r="C3" i="7"/>
  <c r="D3" i="7"/>
  <c r="E3" i="7"/>
  <c r="F3" i="7"/>
  <c r="G3" i="7"/>
  <c r="B4" i="7"/>
  <c r="C4" i="7"/>
  <c r="D4" i="7"/>
  <c r="E4" i="7"/>
  <c r="F4" i="7"/>
  <c r="G4" i="7"/>
  <c r="B5" i="7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C2" i="7"/>
  <c r="Y11" i="31"/>
  <c r="V11" i="31" a="1"/>
  <c r="V11" i="31" s="1"/>
  <c r="U11" i="31" a="1"/>
  <c r="U11" i="31" s="1"/>
  <c r="R11" i="31" a="1"/>
  <c r="R11" i="31" s="1"/>
  <c r="Q11" i="31" a="1"/>
  <c r="Q11" i="31" s="1"/>
  <c r="P11" i="31" a="1"/>
  <c r="P11" i="31" s="1"/>
  <c r="Y10" i="31"/>
  <c r="U10" i="31" a="1"/>
  <c r="U10" i="31" s="1"/>
  <c r="R10" i="31" a="1"/>
  <c r="R10" i="31" s="1"/>
  <c r="Q10" i="31" a="1"/>
  <c r="Q10" i="31" s="1"/>
  <c r="P10" i="31" a="1"/>
  <c r="P10" i="31" s="1"/>
  <c r="J10" i="31"/>
  <c r="Y9" i="31"/>
  <c r="V9" i="31" a="1"/>
  <c r="V9" i="31" s="1"/>
  <c r="D9" i="31" s="1"/>
  <c r="U9" i="31" a="1"/>
  <c r="U9" i="31" s="1"/>
  <c r="R9" i="31" a="1"/>
  <c r="R9" i="31" s="1"/>
  <c r="Q9" i="31" a="1"/>
  <c r="Q9" i="31" s="1"/>
  <c r="J8" i="31" s="1"/>
  <c r="P9" i="31" a="1"/>
  <c r="P9" i="31" s="1"/>
  <c r="J9" i="31"/>
  <c r="Y8" i="31"/>
  <c r="V8" i="31" a="1"/>
  <c r="V8" i="31" s="1"/>
  <c r="D8" i="31" s="1"/>
  <c r="U8" i="31" a="1"/>
  <c r="U8" i="31" s="1"/>
  <c r="C8" i="31" s="1"/>
  <c r="E8" i="31" s="1"/>
  <c r="R8" i="31" a="1"/>
  <c r="R8" i="31" s="1"/>
  <c r="Q8" i="31" a="1"/>
  <c r="Q8" i="31" s="1"/>
  <c r="P8" i="31" a="1"/>
  <c r="P8" i="31" s="1"/>
  <c r="Y7" i="31"/>
  <c r="V7" i="31" a="1"/>
  <c r="V7" i="31" s="1"/>
  <c r="D7" i="31" s="1"/>
  <c r="U7" i="31" a="1"/>
  <c r="U7" i="31" s="1"/>
  <c r="C7" i="31" s="1"/>
  <c r="E7" i="31" s="1"/>
  <c r="R7" i="31" a="1"/>
  <c r="R7" i="31" s="1"/>
  <c r="Q7" i="31" a="1"/>
  <c r="Q7" i="31" s="1"/>
  <c r="P7" i="31" a="1"/>
  <c r="P7" i="31" s="1"/>
  <c r="Y6" i="31"/>
  <c r="V6" i="31" a="1"/>
  <c r="V6" i="31" s="1"/>
  <c r="D6" i="31" s="1"/>
  <c r="U6" i="31" a="1"/>
  <c r="U6" i="31" s="1"/>
  <c r="C6" i="31" s="1"/>
  <c r="E6" i="31" s="1"/>
  <c r="R6" i="31" a="1"/>
  <c r="R6" i="31" s="1"/>
  <c r="Q6" i="31" a="1"/>
  <c r="Q6" i="31" s="1"/>
  <c r="J6" i="31" s="1"/>
  <c r="P6" i="31" a="1"/>
  <c r="P6" i="31" s="1"/>
  <c r="X4" i="31"/>
  <c r="Y11" i="30"/>
  <c r="V11" i="30" a="1"/>
  <c r="V11" i="30" s="1"/>
  <c r="U11" i="30" a="1"/>
  <c r="U11" i="30" s="1"/>
  <c r="R11" i="30" a="1"/>
  <c r="R11" i="30" s="1"/>
  <c r="Q11" i="30" a="1"/>
  <c r="Q11" i="30" s="1"/>
  <c r="P11" i="30" a="1"/>
  <c r="P11" i="30" s="1"/>
  <c r="Y10" i="30"/>
  <c r="U10" i="30" a="1"/>
  <c r="U10" i="30" s="1"/>
  <c r="R10" i="30" a="1"/>
  <c r="R10" i="30" s="1"/>
  <c r="Q10" i="30" a="1"/>
  <c r="Q10" i="30" s="1"/>
  <c r="J9" i="30" s="1"/>
  <c r="P10" i="30" a="1"/>
  <c r="P10" i="30" s="1"/>
  <c r="J10" i="30"/>
  <c r="Y9" i="30"/>
  <c r="V9" i="30" a="1"/>
  <c r="V9" i="30" s="1"/>
  <c r="D9" i="30" s="1"/>
  <c r="U9" i="30" a="1"/>
  <c r="U9" i="30" s="1"/>
  <c r="E9" i="30" s="1"/>
  <c r="R9" i="30" a="1"/>
  <c r="R9" i="30" s="1"/>
  <c r="Q9" i="30" a="1"/>
  <c r="Q9" i="30" s="1"/>
  <c r="J8" i="30" s="1"/>
  <c r="P9" i="30" a="1"/>
  <c r="P9" i="30" s="1"/>
  <c r="Y8" i="30"/>
  <c r="V8" i="30" a="1"/>
  <c r="V8" i="30" s="1"/>
  <c r="D8" i="30" s="1"/>
  <c r="U8" i="30" a="1"/>
  <c r="U8" i="30" s="1"/>
  <c r="E8" i="30" s="1"/>
  <c r="R8" i="30" a="1"/>
  <c r="R8" i="30" s="1"/>
  <c r="Q8" i="30" a="1"/>
  <c r="Q8" i="30" s="1"/>
  <c r="P8" i="30" a="1"/>
  <c r="P8" i="30" s="1"/>
  <c r="Y7" i="30"/>
  <c r="V7" i="30" a="1"/>
  <c r="V7" i="30" s="1"/>
  <c r="D7" i="30" s="1"/>
  <c r="U7" i="30" a="1"/>
  <c r="U7" i="30" s="1"/>
  <c r="R7" i="30" a="1"/>
  <c r="R7" i="30" s="1"/>
  <c r="Q7" i="30" a="1"/>
  <c r="Q7" i="30" s="1"/>
  <c r="P7" i="30" a="1"/>
  <c r="P7" i="30" s="1"/>
  <c r="E7" i="30"/>
  <c r="Y6" i="30"/>
  <c r="V6" i="30" a="1"/>
  <c r="V6" i="30" s="1"/>
  <c r="D6" i="30" s="1"/>
  <c r="U6" i="30" a="1"/>
  <c r="U6" i="30" s="1"/>
  <c r="E6" i="30" s="1"/>
  <c r="E10" i="30" s="1"/>
  <c r="D11" i="30" s="1" a="1"/>
  <c r="D11" i="30" s="1"/>
  <c r="R6" i="30" a="1"/>
  <c r="R6" i="30" s="1"/>
  <c r="Q6" i="30" a="1"/>
  <c r="Q6" i="30" s="1"/>
  <c r="I6" i="30" s="1"/>
  <c r="J6" i="30" s="1"/>
  <c r="P6" i="30" a="1"/>
  <c r="P6" i="30" s="1"/>
  <c r="X4" i="30"/>
  <c r="Y11" i="29"/>
  <c r="V11" i="29" a="1"/>
  <c r="V11" i="29" s="1"/>
  <c r="U11" i="29" a="1"/>
  <c r="U11" i="29" s="1"/>
  <c r="R11" i="29" a="1"/>
  <c r="R11" i="29" s="1"/>
  <c r="Q11" i="29" a="1"/>
  <c r="Q11" i="29" s="1"/>
  <c r="I10" i="29" s="1"/>
  <c r="J10" i="29" s="1"/>
  <c r="P11" i="29" a="1"/>
  <c r="P11" i="29" s="1"/>
  <c r="Y10" i="29"/>
  <c r="U10" i="29" a="1"/>
  <c r="U10" i="29" s="1"/>
  <c r="R10" i="29" a="1"/>
  <c r="R10" i="29" s="1"/>
  <c r="Q10" i="29" a="1"/>
  <c r="Q10" i="29" s="1"/>
  <c r="I9" i="29" s="1"/>
  <c r="J9" i="29" s="1"/>
  <c r="P10" i="29" a="1"/>
  <c r="P10" i="29" s="1"/>
  <c r="Y9" i="29"/>
  <c r="V9" i="29" a="1"/>
  <c r="V9" i="29" s="1"/>
  <c r="D9" i="29" s="1"/>
  <c r="U9" i="29" a="1"/>
  <c r="U9" i="29" s="1"/>
  <c r="E9" i="29" s="1"/>
  <c r="R9" i="29" a="1"/>
  <c r="R9" i="29" s="1"/>
  <c r="Q9" i="29" a="1"/>
  <c r="Q9" i="29" s="1"/>
  <c r="J8" i="29" s="1"/>
  <c r="P9" i="29" a="1"/>
  <c r="P9" i="29" s="1"/>
  <c r="Y8" i="29"/>
  <c r="V8" i="29" a="1"/>
  <c r="V8" i="29" s="1"/>
  <c r="D8" i="29" s="1"/>
  <c r="U8" i="29" a="1"/>
  <c r="U8" i="29" s="1"/>
  <c r="E8" i="29" s="1"/>
  <c r="R8" i="29" a="1"/>
  <c r="R8" i="29" s="1"/>
  <c r="Q8" i="29" a="1"/>
  <c r="Q8" i="29" s="1"/>
  <c r="P8" i="29" a="1"/>
  <c r="P8" i="29" s="1"/>
  <c r="Y7" i="29"/>
  <c r="V7" i="29" a="1"/>
  <c r="V7" i="29" s="1"/>
  <c r="D7" i="29" s="1"/>
  <c r="U7" i="29" a="1"/>
  <c r="U7" i="29" s="1"/>
  <c r="R7" i="29" a="1"/>
  <c r="R7" i="29" s="1"/>
  <c r="Q7" i="29" a="1"/>
  <c r="Q7" i="29" s="1"/>
  <c r="P7" i="29" a="1"/>
  <c r="P7" i="29" s="1"/>
  <c r="E7" i="29"/>
  <c r="Y6" i="29"/>
  <c r="V6" i="29" a="1"/>
  <c r="V6" i="29" s="1"/>
  <c r="D6" i="29" s="1"/>
  <c r="U6" i="29" a="1"/>
  <c r="U6" i="29" s="1"/>
  <c r="E6" i="29" s="1"/>
  <c r="R6" i="29" a="1"/>
  <c r="R6" i="29" s="1"/>
  <c r="Q6" i="29" a="1"/>
  <c r="Q6" i="29" s="1"/>
  <c r="J6" i="29" s="1"/>
  <c r="P6" i="29" a="1"/>
  <c r="P6" i="29" s="1"/>
  <c r="X4" i="29"/>
  <c r="Y11" i="28"/>
  <c r="V11" i="28" a="1"/>
  <c r="V11" i="28" s="1"/>
  <c r="U11" i="28" a="1"/>
  <c r="U11" i="28" s="1"/>
  <c r="R11" i="28" a="1"/>
  <c r="R11" i="28" s="1"/>
  <c r="Q11" i="28" a="1"/>
  <c r="Q11" i="28" s="1"/>
  <c r="I10" i="28" s="1"/>
  <c r="J10" i="28" s="1"/>
  <c r="P11" i="28" a="1"/>
  <c r="P11" i="28" s="1"/>
  <c r="Y10" i="28"/>
  <c r="U10" i="28" a="1"/>
  <c r="U10" i="28" s="1"/>
  <c r="R10" i="28" a="1"/>
  <c r="R10" i="28" s="1"/>
  <c r="Q10" i="28" a="1"/>
  <c r="Q10" i="28" s="1"/>
  <c r="I9" i="28" s="1"/>
  <c r="J9" i="28" s="1"/>
  <c r="P10" i="28" a="1"/>
  <c r="P10" i="28" s="1"/>
  <c r="Y9" i="28"/>
  <c r="V9" i="28" a="1"/>
  <c r="V9" i="28" s="1"/>
  <c r="D9" i="28" s="1"/>
  <c r="U9" i="28" a="1"/>
  <c r="U9" i="28" s="1"/>
  <c r="E9" i="28" s="1"/>
  <c r="R9" i="28" a="1"/>
  <c r="R9" i="28" s="1"/>
  <c r="Q9" i="28" a="1"/>
  <c r="Q9" i="28" s="1"/>
  <c r="J8" i="28" s="1"/>
  <c r="P9" i="28" a="1"/>
  <c r="P9" i="28" s="1"/>
  <c r="Y8" i="28"/>
  <c r="V8" i="28" a="1"/>
  <c r="V8" i="28" s="1"/>
  <c r="D8" i="28" s="1"/>
  <c r="U8" i="28" a="1"/>
  <c r="U8" i="28" s="1"/>
  <c r="E8" i="28" s="1"/>
  <c r="R8" i="28" a="1"/>
  <c r="R8" i="28" s="1"/>
  <c r="Q8" i="28" a="1"/>
  <c r="Q8" i="28" s="1"/>
  <c r="P8" i="28" a="1"/>
  <c r="P8" i="28" s="1"/>
  <c r="Y7" i="28"/>
  <c r="V7" i="28" a="1"/>
  <c r="V7" i="28" s="1"/>
  <c r="D7" i="28" s="1"/>
  <c r="U7" i="28" a="1"/>
  <c r="U7" i="28" s="1"/>
  <c r="R7" i="28" a="1"/>
  <c r="R7" i="28" s="1"/>
  <c r="Q7" i="28" a="1"/>
  <c r="Q7" i="28" s="1"/>
  <c r="P7" i="28" a="1"/>
  <c r="P7" i="28" s="1"/>
  <c r="E7" i="28"/>
  <c r="Y6" i="28"/>
  <c r="V6" i="28" a="1"/>
  <c r="V6" i="28" s="1"/>
  <c r="D6" i="28" s="1"/>
  <c r="U6" i="28" a="1"/>
  <c r="U6" i="28" s="1"/>
  <c r="E6" i="28" s="1"/>
  <c r="E10" i="28" s="1"/>
  <c r="D11" i="28" s="1" a="1"/>
  <c r="D11" i="28" s="1"/>
  <c r="R6" i="28" a="1"/>
  <c r="R6" i="28" s="1"/>
  <c r="Q6" i="28" a="1"/>
  <c r="Q6" i="28" s="1"/>
  <c r="J6" i="28" s="1"/>
  <c r="P6" i="28" a="1"/>
  <c r="P6" i="28" s="1"/>
  <c r="X4" i="28"/>
  <c r="Y11" i="27"/>
  <c r="V11" i="27" a="1"/>
  <c r="V11" i="27" s="1"/>
  <c r="U11" i="27" a="1"/>
  <c r="U11" i="27" s="1"/>
  <c r="R11" i="27" a="1"/>
  <c r="R11" i="27" s="1"/>
  <c r="Q11" i="27" a="1"/>
  <c r="Q11" i="27" s="1"/>
  <c r="P11" i="27" a="1"/>
  <c r="P11" i="27" s="1"/>
  <c r="Y10" i="27"/>
  <c r="U10" i="27" a="1"/>
  <c r="U10" i="27" s="1"/>
  <c r="R10" i="27" a="1"/>
  <c r="R10" i="27" s="1"/>
  <c r="Q10" i="27" a="1"/>
  <c r="Q10" i="27" s="1"/>
  <c r="J9" i="27" s="1"/>
  <c r="P10" i="27" a="1"/>
  <c r="P10" i="27" s="1"/>
  <c r="J10" i="27"/>
  <c r="Y9" i="27"/>
  <c r="V9" i="27" a="1"/>
  <c r="V9" i="27" s="1"/>
  <c r="D9" i="27" s="1"/>
  <c r="U9" i="27" a="1"/>
  <c r="U9" i="27" s="1"/>
  <c r="E9" i="27" s="1"/>
  <c r="R9" i="27" a="1"/>
  <c r="R9" i="27" s="1"/>
  <c r="Q9" i="27" a="1"/>
  <c r="Q9" i="27" s="1"/>
  <c r="J8" i="27" s="1"/>
  <c r="P9" i="27" a="1"/>
  <c r="P9" i="27" s="1"/>
  <c r="Y8" i="27"/>
  <c r="V8" i="27" a="1"/>
  <c r="V8" i="27" s="1"/>
  <c r="D8" i="27" s="1"/>
  <c r="U8" i="27" a="1"/>
  <c r="U8" i="27" s="1"/>
  <c r="E8" i="27" s="1"/>
  <c r="R8" i="27" a="1"/>
  <c r="R8" i="27" s="1"/>
  <c r="Q8" i="27" a="1"/>
  <c r="Q8" i="27" s="1"/>
  <c r="P8" i="27" a="1"/>
  <c r="P8" i="27" s="1"/>
  <c r="Y7" i="27"/>
  <c r="V7" i="27" a="1"/>
  <c r="V7" i="27" s="1"/>
  <c r="D7" i="27" s="1"/>
  <c r="U7" i="27" a="1"/>
  <c r="U7" i="27" s="1"/>
  <c r="R7" i="27" a="1"/>
  <c r="R7" i="27" s="1"/>
  <c r="Q7" i="27" a="1"/>
  <c r="Q7" i="27" s="1"/>
  <c r="P7" i="27" a="1"/>
  <c r="P7" i="27" s="1"/>
  <c r="E7" i="27"/>
  <c r="Y6" i="27"/>
  <c r="V6" i="27" a="1"/>
  <c r="V6" i="27" s="1"/>
  <c r="D6" i="27" s="1"/>
  <c r="U6" i="27" a="1"/>
  <c r="U6" i="27" s="1"/>
  <c r="E6" i="27" s="1"/>
  <c r="R6" i="27" a="1"/>
  <c r="R6" i="27" s="1"/>
  <c r="Q6" i="27" a="1"/>
  <c r="Q6" i="27" s="1"/>
  <c r="J6" i="27" s="1"/>
  <c r="P6" i="27" a="1"/>
  <c r="P6" i="27" s="1"/>
  <c r="X4" i="27"/>
  <c r="Y11" i="26"/>
  <c r="V11" i="26" a="1"/>
  <c r="V11" i="26" s="1"/>
  <c r="U11" i="26" a="1"/>
  <c r="U11" i="26" s="1"/>
  <c r="R11" i="26" a="1"/>
  <c r="R11" i="26" s="1"/>
  <c r="Q11" i="26" a="1"/>
  <c r="Q11" i="26" s="1"/>
  <c r="I10" i="26" s="1"/>
  <c r="J10" i="26" s="1"/>
  <c r="P11" i="26" a="1"/>
  <c r="P11" i="26" s="1"/>
  <c r="Y10" i="26"/>
  <c r="U10" i="26" a="1"/>
  <c r="U10" i="26" s="1"/>
  <c r="R10" i="26" a="1"/>
  <c r="R10" i="26" s="1"/>
  <c r="Q10" i="26" a="1"/>
  <c r="Q10" i="26" s="1"/>
  <c r="J9" i="26" s="1"/>
  <c r="P10" i="26" a="1"/>
  <c r="P10" i="26" s="1"/>
  <c r="Y9" i="26"/>
  <c r="V9" i="26" a="1"/>
  <c r="V9" i="26" s="1"/>
  <c r="D9" i="26" s="1"/>
  <c r="U9" i="26" a="1"/>
  <c r="U9" i="26" s="1"/>
  <c r="E9" i="26" s="1"/>
  <c r="R9" i="26" a="1"/>
  <c r="R9" i="26" s="1"/>
  <c r="Q9" i="26" a="1"/>
  <c r="Q9" i="26" s="1"/>
  <c r="J8" i="26" s="1"/>
  <c r="P9" i="26" a="1"/>
  <c r="P9" i="26" s="1"/>
  <c r="Y8" i="26"/>
  <c r="V8" i="26" a="1"/>
  <c r="V8" i="26" s="1"/>
  <c r="D8" i="26" s="1"/>
  <c r="U8" i="26" a="1"/>
  <c r="U8" i="26" s="1"/>
  <c r="E8" i="26" s="1"/>
  <c r="R8" i="26" a="1"/>
  <c r="R8" i="26" s="1"/>
  <c r="Q8" i="26" a="1"/>
  <c r="Q8" i="26" s="1"/>
  <c r="P8" i="26" a="1"/>
  <c r="P8" i="26" s="1"/>
  <c r="Y7" i="26"/>
  <c r="V7" i="26" a="1"/>
  <c r="V7" i="26" s="1"/>
  <c r="D7" i="26" s="1"/>
  <c r="U7" i="26" a="1"/>
  <c r="U7" i="26" s="1"/>
  <c r="R7" i="26" a="1"/>
  <c r="R7" i="26" s="1"/>
  <c r="Q7" i="26" a="1"/>
  <c r="Q7" i="26" s="1"/>
  <c r="J7" i="26" s="1"/>
  <c r="P7" i="26" a="1"/>
  <c r="P7" i="26" s="1"/>
  <c r="E7" i="26"/>
  <c r="Y6" i="26"/>
  <c r="V6" i="26" a="1"/>
  <c r="V6" i="26" s="1"/>
  <c r="D6" i="26" s="1"/>
  <c r="U6" i="26" a="1"/>
  <c r="U6" i="26" s="1"/>
  <c r="E6" i="26" s="1"/>
  <c r="E10" i="26" s="1"/>
  <c r="D11" i="26" s="1" a="1"/>
  <c r="D11" i="26" s="1"/>
  <c r="R6" i="26" a="1"/>
  <c r="R6" i="26" s="1"/>
  <c r="Q6" i="26" a="1"/>
  <c r="Q6" i="26" s="1"/>
  <c r="J6" i="26" s="1"/>
  <c r="P6" i="26" a="1"/>
  <c r="P6" i="26" s="1"/>
  <c r="X4" i="26"/>
  <c r="Y11" i="25"/>
  <c r="V11" i="25" a="1"/>
  <c r="V11" i="25" s="1"/>
  <c r="U11" i="25" a="1"/>
  <c r="U11" i="25" s="1"/>
  <c r="R11" i="25" a="1"/>
  <c r="R11" i="25" s="1"/>
  <c r="Q11" i="25" a="1"/>
  <c r="Q11" i="25" s="1"/>
  <c r="I10" i="25" s="1"/>
  <c r="J10" i="25" s="1"/>
  <c r="P11" i="25" a="1"/>
  <c r="P11" i="25" s="1"/>
  <c r="Y10" i="25"/>
  <c r="U10" i="25" a="1"/>
  <c r="U10" i="25" s="1"/>
  <c r="R10" i="25" a="1"/>
  <c r="R10" i="25" s="1"/>
  <c r="Q10" i="25" a="1"/>
  <c r="Q10" i="25" s="1"/>
  <c r="I9" i="25" s="1"/>
  <c r="J9" i="25" s="1"/>
  <c r="P10" i="25" a="1"/>
  <c r="P10" i="25" s="1"/>
  <c r="Y9" i="25"/>
  <c r="V9" i="25" a="1"/>
  <c r="V9" i="25" s="1"/>
  <c r="D9" i="25" s="1"/>
  <c r="U9" i="25" a="1"/>
  <c r="U9" i="25" s="1"/>
  <c r="E9" i="25" s="1"/>
  <c r="R9" i="25" a="1"/>
  <c r="R9" i="25" s="1"/>
  <c r="Q9" i="25" a="1"/>
  <c r="Q9" i="25" s="1"/>
  <c r="J8" i="25" s="1"/>
  <c r="P9" i="25" a="1"/>
  <c r="P9" i="25" s="1"/>
  <c r="Y8" i="25"/>
  <c r="V8" i="25" a="1"/>
  <c r="V8" i="25" s="1"/>
  <c r="D8" i="25" s="1"/>
  <c r="U8" i="25" a="1"/>
  <c r="U8" i="25" s="1"/>
  <c r="E8" i="25" s="1"/>
  <c r="R8" i="25" a="1"/>
  <c r="R8" i="25" s="1"/>
  <c r="Q8" i="25" a="1"/>
  <c r="Q8" i="25" s="1"/>
  <c r="P8" i="25" a="1"/>
  <c r="P8" i="25" s="1"/>
  <c r="Y7" i="25"/>
  <c r="V7" i="25" a="1"/>
  <c r="V7" i="25" s="1"/>
  <c r="D7" i="25" s="1"/>
  <c r="U7" i="25" a="1"/>
  <c r="U7" i="25" s="1"/>
  <c r="R7" i="25" a="1"/>
  <c r="R7" i="25" s="1"/>
  <c r="Q7" i="25" a="1"/>
  <c r="Q7" i="25" s="1"/>
  <c r="J7" i="25" s="1"/>
  <c r="P7" i="25" a="1"/>
  <c r="P7" i="25" s="1"/>
  <c r="E7" i="25"/>
  <c r="Y6" i="25"/>
  <c r="V6" i="25" a="1"/>
  <c r="V6" i="25" s="1"/>
  <c r="D6" i="25" s="1"/>
  <c r="U6" i="25" a="1"/>
  <c r="U6" i="25" s="1"/>
  <c r="E6" i="25" s="1"/>
  <c r="E10" i="25" s="1"/>
  <c r="D11" i="25" s="1" a="1"/>
  <c r="D11" i="25" s="1"/>
  <c r="R6" i="25" a="1"/>
  <c r="R6" i="25" s="1"/>
  <c r="Q6" i="25" a="1"/>
  <c r="Q6" i="25" s="1"/>
  <c r="J6" i="25" s="1"/>
  <c r="P6" i="25" a="1"/>
  <c r="P6" i="25" s="1"/>
  <c r="X4" i="25"/>
  <c r="Y11" i="24"/>
  <c r="V11" i="24" a="1"/>
  <c r="V11" i="24" s="1"/>
  <c r="U11" i="24" a="1"/>
  <c r="U11" i="24" s="1"/>
  <c r="R11" i="24" a="1"/>
  <c r="R11" i="24" s="1"/>
  <c r="Q11" i="24" a="1"/>
  <c r="Q11" i="24" s="1"/>
  <c r="P11" i="24" a="1"/>
  <c r="P11" i="24" s="1"/>
  <c r="Y10" i="24"/>
  <c r="U10" i="24" a="1"/>
  <c r="U10" i="24" s="1"/>
  <c r="R10" i="24" a="1"/>
  <c r="R10" i="24" s="1"/>
  <c r="Q10" i="24" a="1"/>
  <c r="Q10" i="24" s="1"/>
  <c r="P10" i="24" a="1"/>
  <c r="P10" i="24" s="1"/>
  <c r="J10" i="24"/>
  <c r="Y9" i="24"/>
  <c r="V9" i="24" a="1"/>
  <c r="V9" i="24" s="1"/>
  <c r="D9" i="24" s="1"/>
  <c r="U9" i="24" a="1"/>
  <c r="U9" i="24" s="1"/>
  <c r="E9" i="24" s="1"/>
  <c r="R9" i="24" a="1"/>
  <c r="R9" i="24" s="1"/>
  <c r="Q9" i="24" a="1"/>
  <c r="Q9" i="24" s="1"/>
  <c r="J8" i="24" s="1"/>
  <c r="P9" i="24" a="1"/>
  <c r="P9" i="24" s="1"/>
  <c r="J9" i="24"/>
  <c r="Y8" i="24"/>
  <c r="V8" i="24" a="1"/>
  <c r="V8" i="24" s="1"/>
  <c r="D8" i="24" s="1"/>
  <c r="U8" i="24" a="1"/>
  <c r="U8" i="24" s="1"/>
  <c r="E8" i="24" s="1"/>
  <c r="R8" i="24" a="1"/>
  <c r="R8" i="24" s="1"/>
  <c r="Q8" i="24" a="1"/>
  <c r="Q8" i="24" s="1"/>
  <c r="P8" i="24" a="1"/>
  <c r="P8" i="24" s="1"/>
  <c r="Y7" i="24"/>
  <c r="V7" i="24" a="1"/>
  <c r="V7" i="24" s="1"/>
  <c r="D7" i="24" s="1"/>
  <c r="U7" i="24" a="1"/>
  <c r="U7" i="24" s="1"/>
  <c r="E7" i="24" s="1"/>
  <c r="R7" i="24" a="1"/>
  <c r="R7" i="24" s="1"/>
  <c r="Q7" i="24" a="1"/>
  <c r="Q7" i="24" s="1"/>
  <c r="P7" i="24" a="1"/>
  <c r="P7" i="24" s="1"/>
  <c r="Y6" i="24"/>
  <c r="V6" i="24" a="1"/>
  <c r="V6" i="24" s="1"/>
  <c r="D6" i="24" s="1"/>
  <c r="U6" i="24" a="1"/>
  <c r="U6" i="24" s="1"/>
  <c r="E6" i="24" s="1"/>
  <c r="R6" i="24" a="1"/>
  <c r="R6" i="24" s="1"/>
  <c r="Q6" i="24" a="1"/>
  <c r="Q6" i="24" s="1"/>
  <c r="J6" i="24" s="1"/>
  <c r="P6" i="24" a="1"/>
  <c r="P6" i="24" s="1"/>
  <c r="X4" i="24"/>
  <c r="Y11" i="23"/>
  <c r="V11" i="23" a="1"/>
  <c r="V11" i="23" s="1"/>
  <c r="U11" i="23" a="1"/>
  <c r="U11" i="23" s="1"/>
  <c r="R11" i="23" a="1"/>
  <c r="R11" i="23" s="1"/>
  <c r="Q11" i="23" a="1"/>
  <c r="Q11" i="23" s="1"/>
  <c r="P11" i="23" a="1"/>
  <c r="P11" i="23" s="1"/>
  <c r="Y10" i="23"/>
  <c r="U10" i="23" a="1"/>
  <c r="U10" i="23" s="1"/>
  <c r="R10" i="23" a="1"/>
  <c r="R10" i="23" s="1"/>
  <c r="Q10" i="23" a="1"/>
  <c r="Q10" i="23" s="1"/>
  <c r="P10" i="23" a="1"/>
  <c r="P10" i="23" s="1"/>
  <c r="J10" i="23"/>
  <c r="Y9" i="23"/>
  <c r="V9" i="23" a="1"/>
  <c r="V9" i="23" s="1"/>
  <c r="D9" i="23" s="1"/>
  <c r="U9" i="23" a="1"/>
  <c r="U9" i="23" s="1"/>
  <c r="E9" i="23" s="1"/>
  <c r="R9" i="23" a="1"/>
  <c r="R9" i="23" s="1"/>
  <c r="Q9" i="23" a="1"/>
  <c r="Q9" i="23" s="1"/>
  <c r="J8" i="23" s="1"/>
  <c r="P9" i="23" a="1"/>
  <c r="P9" i="23" s="1"/>
  <c r="I9" i="23"/>
  <c r="J9" i="23" s="1"/>
  <c r="Y8" i="23"/>
  <c r="V8" i="23" a="1"/>
  <c r="V8" i="23" s="1"/>
  <c r="D8" i="23" s="1"/>
  <c r="U8" i="23" a="1"/>
  <c r="U8" i="23" s="1"/>
  <c r="E8" i="23" s="1"/>
  <c r="R8" i="23" a="1"/>
  <c r="R8" i="23" s="1"/>
  <c r="Q8" i="23" a="1"/>
  <c r="Q8" i="23" s="1"/>
  <c r="P8" i="23" a="1"/>
  <c r="P8" i="23" s="1"/>
  <c r="Y7" i="23"/>
  <c r="V7" i="23" a="1"/>
  <c r="V7" i="23" s="1"/>
  <c r="D7" i="23" s="1"/>
  <c r="U7" i="23" a="1"/>
  <c r="U7" i="23" s="1"/>
  <c r="R7" i="23" a="1"/>
  <c r="R7" i="23" s="1"/>
  <c r="Q7" i="23" a="1"/>
  <c r="Q7" i="23" s="1"/>
  <c r="P7" i="23" a="1"/>
  <c r="P7" i="23" s="1"/>
  <c r="E7" i="23"/>
  <c r="Y6" i="23"/>
  <c r="V6" i="23" a="1"/>
  <c r="V6" i="23" s="1"/>
  <c r="D6" i="23" s="1"/>
  <c r="U6" i="23" a="1"/>
  <c r="U6" i="23" s="1"/>
  <c r="E6" i="23" s="1"/>
  <c r="R6" i="23" a="1"/>
  <c r="R6" i="23" s="1"/>
  <c r="Q6" i="23" a="1"/>
  <c r="Q6" i="23" s="1"/>
  <c r="I6" i="23" s="1"/>
  <c r="J6" i="23" s="1"/>
  <c r="P6" i="23" a="1"/>
  <c r="P6" i="23" s="1"/>
  <c r="X4" i="23"/>
  <c r="Y11" i="22"/>
  <c r="V11" i="22" a="1"/>
  <c r="V11" i="22" s="1"/>
  <c r="U11" i="22" a="1"/>
  <c r="U11" i="22" s="1"/>
  <c r="R11" i="22" a="1"/>
  <c r="R11" i="22" s="1"/>
  <c r="Q11" i="22" a="1"/>
  <c r="Q11" i="22" s="1"/>
  <c r="I10" i="22" s="1"/>
  <c r="J10" i="22" s="1"/>
  <c r="P11" i="22" a="1"/>
  <c r="P11" i="22" s="1"/>
  <c r="Y10" i="22"/>
  <c r="U10" i="22" a="1"/>
  <c r="U10" i="22" s="1"/>
  <c r="R10" i="22" a="1"/>
  <c r="R10" i="22" s="1"/>
  <c r="Q10" i="22" a="1"/>
  <c r="Q10" i="22" s="1"/>
  <c r="I9" i="22" s="1"/>
  <c r="J9" i="22" s="1"/>
  <c r="P10" i="22" a="1"/>
  <c r="P10" i="22" s="1"/>
  <c r="Y9" i="22"/>
  <c r="V9" i="22" a="1"/>
  <c r="V9" i="22" s="1"/>
  <c r="D9" i="22" s="1"/>
  <c r="U9" i="22" a="1"/>
  <c r="U9" i="22" s="1"/>
  <c r="E9" i="22" s="1"/>
  <c r="R9" i="22" a="1"/>
  <c r="R9" i="22" s="1"/>
  <c r="Q9" i="22" a="1"/>
  <c r="Q9" i="22" s="1"/>
  <c r="J8" i="22" s="1"/>
  <c r="P9" i="22" a="1"/>
  <c r="P9" i="22" s="1"/>
  <c r="Y8" i="22"/>
  <c r="V8" i="22" a="1"/>
  <c r="V8" i="22" s="1"/>
  <c r="D8" i="22" s="1"/>
  <c r="U8" i="22" a="1"/>
  <c r="U8" i="22" s="1"/>
  <c r="E8" i="22" s="1"/>
  <c r="R8" i="22" a="1"/>
  <c r="R8" i="22" s="1"/>
  <c r="Q8" i="22" a="1"/>
  <c r="Q8" i="22" s="1"/>
  <c r="P8" i="22" a="1"/>
  <c r="P8" i="22" s="1"/>
  <c r="Y7" i="22"/>
  <c r="V7" i="22" a="1"/>
  <c r="V7" i="22" s="1"/>
  <c r="D7" i="22" s="1"/>
  <c r="U7" i="22" a="1"/>
  <c r="U7" i="22" s="1"/>
  <c r="R7" i="22" a="1"/>
  <c r="R7" i="22" s="1"/>
  <c r="Q7" i="22" a="1"/>
  <c r="Q7" i="22" s="1"/>
  <c r="P7" i="22" a="1"/>
  <c r="P7" i="22" s="1"/>
  <c r="E7" i="22"/>
  <c r="Y6" i="22"/>
  <c r="V6" i="22" a="1"/>
  <c r="V6" i="22" s="1"/>
  <c r="D6" i="22" s="1"/>
  <c r="U6" i="22" a="1"/>
  <c r="U6" i="22" s="1"/>
  <c r="E6" i="22" s="1"/>
  <c r="R6" i="22" a="1"/>
  <c r="R6" i="22" s="1"/>
  <c r="Q6" i="22" a="1"/>
  <c r="Q6" i="22" s="1"/>
  <c r="J6" i="22" s="1"/>
  <c r="P6" i="22" a="1"/>
  <c r="P6" i="22" s="1"/>
  <c r="X4" i="22"/>
  <c r="U7" i="21" a="1"/>
  <c r="U7" i="21" s="1"/>
  <c r="C7" i="21" s="1"/>
  <c r="E7" i="21" s="1"/>
  <c r="U6" i="21" a="1"/>
  <c r="U6" i="21" s="1"/>
  <c r="C6" i="21" s="1"/>
  <c r="E6" i="21" s="1"/>
  <c r="U8" i="21" a="1"/>
  <c r="U8" i="21" s="1"/>
  <c r="C8" i="21" s="1"/>
  <c r="E8" i="21" s="1"/>
  <c r="R11" i="21" a="1"/>
  <c r="R11" i="21" s="1"/>
  <c r="R10" i="21" a="1"/>
  <c r="R10" i="21" s="1"/>
  <c r="R9" i="21" a="1"/>
  <c r="R9" i="21" s="1"/>
  <c r="R8" i="21" a="1"/>
  <c r="R8" i="21" s="1"/>
  <c r="R7" i="21" a="1"/>
  <c r="R7" i="21" s="1"/>
  <c r="R6" i="21" a="1"/>
  <c r="R6" i="21" s="1"/>
  <c r="Q11" i="21" a="1"/>
  <c r="Q11" i="21" s="1"/>
  <c r="I10" i="21" s="1"/>
  <c r="J10" i="21" s="1"/>
  <c r="Q10" i="21" a="1"/>
  <c r="Q10" i="21" s="1"/>
  <c r="I9" i="21" s="1"/>
  <c r="J9" i="21" s="1"/>
  <c r="Q9" i="21" a="1"/>
  <c r="Q9" i="21" s="1"/>
  <c r="I8" i="21" s="1"/>
  <c r="J8" i="21" s="1"/>
  <c r="Q8" i="21" a="1"/>
  <c r="Q8" i="21" s="1"/>
  <c r="Q7" i="21" a="1"/>
  <c r="Q7" i="21" s="1"/>
  <c r="Q6" i="21" a="1"/>
  <c r="Q6" i="21" s="1"/>
  <c r="Y11" i="21"/>
  <c r="V11" i="21" a="1"/>
  <c r="V11" i="21" s="1"/>
  <c r="U11" i="21" a="1"/>
  <c r="U11" i="21" s="1"/>
  <c r="P11" i="21" a="1"/>
  <c r="P11" i="21" s="1"/>
  <c r="Y10" i="21"/>
  <c r="U10" i="21" a="1"/>
  <c r="U10" i="21" s="1"/>
  <c r="P10" i="21" a="1"/>
  <c r="P10" i="21" s="1"/>
  <c r="Y9" i="21"/>
  <c r="V9" i="21" a="1"/>
  <c r="V9" i="21" s="1"/>
  <c r="D9" i="21" s="1"/>
  <c r="U9" i="21" a="1"/>
  <c r="U9" i="21" s="1"/>
  <c r="P9" i="21" a="1"/>
  <c r="P9" i="21" s="1"/>
  <c r="Y8" i="21"/>
  <c r="V8" i="21" a="1"/>
  <c r="V8" i="21" s="1"/>
  <c r="D8" i="21" s="1"/>
  <c r="P8" i="21" a="1"/>
  <c r="P8" i="21" s="1"/>
  <c r="Y7" i="21"/>
  <c r="V7" i="21" a="1"/>
  <c r="V7" i="21" s="1"/>
  <c r="D7" i="21" s="1"/>
  <c r="P7" i="21" a="1"/>
  <c r="P7" i="21" s="1"/>
  <c r="Y6" i="21"/>
  <c r="V6" i="21" a="1"/>
  <c r="V6" i="21" s="1"/>
  <c r="D6" i="21" s="1"/>
  <c r="P6" i="21" a="1"/>
  <c r="P6" i="21" s="1"/>
  <c r="X4" i="21"/>
  <c r="B2" i="7"/>
  <c r="D2" i="7"/>
  <c r="E2" i="7"/>
  <c r="F2" i="7"/>
  <c r="G2" i="7"/>
  <c r="H12" i="20" a="1"/>
  <c r="H12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5" i="20"/>
  <c r="H5" i="20" s="1" a="1"/>
  <c r="H5" i="20" s="1"/>
  <c r="G12" i="20" a="1"/>
  <c r="G12" i="20" s="1"/>
  <c r="G5" i="20" a="1"/>
  <c r="G5" i="20" s="1"/>
  <c r="X12" i="9"/>
  <c r="R12" i="9" a="1"/>
  <c r="R12" i="9" s="1"/>
  <c r="Q12" i="9" a="1"/>
  <c r="Q12" i="9" s="1"/>
  <c r="I12" i="9" s="1"/>
  <c r="J12" i="9" s="1"/>
  <c r="P12" i="9" a="1"/>
  <c r="P12" i="9" s="1"/>
  <c r="X11" i="9"/>
  <c r="U11" i="9" a="1"/>
  <c r="U11" i="9" s="1"/>
  <c r="T11" i="9" a="1"/>
  <c r="T11" i="9" s="1"/>
  <c r="R11" i="9" a="1"/>
  <c r="R11" i="9" s="1"/>
  <c r="Q11" i="9" a="1"/>
  <c r="Q11" i="9" s="1"/>
  <c r="I11" i="9" s="1"/>
  <c r="J11" i="9" s="1"/>
  <c r="P11" i="9" a="1"/>
  <c r="P11" i="9" s="1"/>
  <c r="X10" i="9"/>
  <c r="U10" i="9" a="1"/>
  <c r="U10" i="9" s="1"/>
  <c r="D10" i="9" s="1"/>
  <c r="T10" i="9" a="1"/>
  <c r="T10" i="9" s="1"/>
  <c r="C10" i="9" s="1"/>
  <c r="E10" i="9" s="1"/>
  <c r="R10" i="9" a="1"/>
  <c r="R10" i="9" s="1"/>
  <c r="Q10" i="9" a="1"/>
  <c r="Q10" i="9" s="1"/>
  <c r="I10" i="9" s="1"/>
  <c r="J10" i="9" s="1"/>
  <c r="P10" i="9" a="1"/>
  <c r="P10" i="9" s="1"/>
  <c r="X9" i="9"/>
  <c r="U9" i="9" a="1"/>
  <c r="U9" i="9" s="1"/>
  <c r="D9" i="9" s="1"/>
  <c r="T9" i="9" a="1"/>
  <c r="T9" i="9" s="1"/>
  <c r="C9" i="9" s="1"/>
  <c r="E9" i="9" s="1"/>
  <c r="R9" i="9" a="1"/>
  <c r="R9" i="9" s="1"/>
  <c r="Q9" i="9" a="1"/>
  <c r="Q9" i="9" s="1"/>
  <c r="I9" i="9" s="1"/>
  <c r="J9" i="9" s="1"/>
  <c r="P9" i="9" a="1"/>
  <c r="P9" i="9" s="1"/>
  <c r="X8" i="9"/>
  <c r="U8" i="9" a="1"/>
  <c r="U8" i="9" s="1"/>
  <c r="D8" i="9" s="1"/>
  <c r="T8" i="9" a="1"/>
  <c r="T8" i="9" s="1"/>
  <c r="C8" i="9" s="1"/>
  <c r="E8" i="9" s="1"/>
  <c r="R8" i="9" a="1"/>
  <c r="R8" i="9" s="1"/>
  <c r="Q8" i="9" a="1"/>
  <c r="Q8" i="9" s="1"/>
  <c r="I8" i="9" s="1"/>
  <c r="J8" i="9" s="1"/>
  <c r="P8" i="9" a="1"/>
  <c r="P8" i="9" s="1"/>
  <c r="X7" i="9"/>
  <c r="U7" i="9" a="1"/>
  <c r="U7" i="9" s="1"/>
  <c r="D7" i="9" s="1"/>
  <c r="T7" i="9" a="1"/>
  <c r="T7" i="9" s="1"/>
  <c r="C7" i="9" s="1"/>
  <c r="E7" i="9" s="1"/>
  <c r="R7" i="9" a="1"/>
  <c r="R7" i="9" s="1"/>
  <c r="Q7" i="9" a="1"/>
  <c r="Q7" i="9" s="1"/>
  <c r="I7" i="9" s="1"/>
  <c r="J7" i="9" s="1"/>
  <c r="P7" i="9" a="1"/>
  <c r="P7" i="9" s="1"/>
  <c r="W5" i="9"/>
  <c r="T11" i="8" a="1"/>
  <c r="T11" i="8" s="1"/>
  <c r="S11" i="8" a="1"/>
  <c r="S11" i="8" s="1"/>
  <c r="S10" i="8" a="1"/>
  <c r="S10" i="8" s="1"/>
  <c r="C10" i="8" s="1"/>
  <c r="D10" i="8" s="1"/>
  <c r="S8" i="8" a="1"/>
  <c r="S8" i="8" s="1"/>
  <c r="C8" i="8" s="1"/>
  <c r="D8" i="8" s="1"/>
  <c r="S9" i="8" a="1"/>
  <c r="S9" i="8" s="1"/>
  <c r="C9" i="8" s="1"/>
  <c r="D9" i="8" s="1"/>
  <c r="S7" i="8" a="1"/>
  <c r="S7" i="8" s="1"/>
  <c r="C7" i="8" s="1"/>
  <c r="D7" i="8" s="1"/>
  <c r="T10" i="8" a="1"/>
  <c r="T10" i="8" s="1"/>
  <c r="T7" i="8" a="1"/>
  <c r="T7" i="8" s="1"/>
  <c r="T8" i="8" a="1"/>
  <c r="T8" i="8" s="1"/>
  <c r="T9" i="8" a="1"/>
  <c r="T9" i="8" s="1"/>
  <c r="Q7" i="8" a="1"/>
  <c r="Q7" i="8" s="1"/>
  <c r="Q8" i="8" a="1"/>
  <c r="Q8" i="8" s="1"/>
  <c r="Q9" i="8" a="1"/>
  <c r="Q9" i="8" s="1"/>
  <c r="Q10" i="8" a="1"/>
  <c r="Q10" i="8" s="1"/>
  <c r="Q11" i="8" a="1"/>
  <c r="Q11" i="8" s="1"/>
  <c r="Q12" i="8" a="1"/>
  <c r="Q12" i="8" s="1"/>
  <c r="P8" i="8" a="1"/>
  <c r="P8" i="8" s="1"/>
  <c r="H8" i="8" s="1"/>
  <c r="I8" i="8" s="1"/>
  <c r="P9" i="8" a="1"/>
  <c r="P9" i="8" s="1"/>
  <c r="H9" i="8" s="1"/>
  <c r="I9" i="8" s="1"/>
  <c r="P10" i="8" a="1"/>
  <c r="P10" i="8" s="1"/>
  <c r="H10" i="8" s="1"/>
  <c r="I10" i="8" s="1"/>
  <c r="P11" i="8" a="1"/>
  <c r="P11" i="8" s="1"/>
  <c r="H11" i="8" s="1"/>
  <c r="I11" i="8" s="1"/>
  <c r="P12" i="8" a="1"/>
  <c r="P12" i="8" s="1"/>
  <c r="H12" i="8" s="1"/>
  <c r="I12" i="8" s="1"/>
  <c r="P7" i="8" a="1"/>
  <c r="P7" i="8" s="1"/>
  <c r="H7" i="8" s="1"/>
  <c r="I7" i="8" s="1"/>
  <c r="O8" i="8" a="1"/>
  <c r="O8" i="8" s="1"/>
  <c r="O9" i="8" a="1"/>
  <c r="O9" i="8" s="1"/>
  <c r="O10" i="8" a="1"/>
  <c r="O10" i="8" s="1"/>
  <c r="O11" i="8" a="1"/>
  <c r="O11" i="8" s="1"/>
  <c r="O12" i="8" a="1"/>
  <c r="O12" i="8" s="1"/>
  <c r="O7" i="8" a="1"/>
  <c r="O7" i="8" s="1"/>
  <c r="W10" i="8"/>
  <c r="W11" i="8"/>
  <c r="W12" i="8"/>
  <c r="W9" i="8"/>
  <c r="V5" i="8"/>
  <c r="I11" i="26" l="1"/>
  <c r="F13" i="26" s="1"/>
  <c r="E10" i="31"/>
  <c r="D11" i="31" s="1" a="1"/>
  <c r="D11" i="31" s="1"/>
  <c r="I7" i="21"/>
  <c r="J7" i="21" s="1"/>
  <c r="I11" i="25"/>
  <c r="F13" i="25" s="1"/>
  <c r="J7" i="31"/>
  <c r="I11" i="31" s="1"/>
  <c r="J7" i="30"/>
  <c r="I11" i="30" s="1"/>
  <c r="F13" i="30" s="1"/>
  <c r="J7" i="29"/>
  <c r="I11" i="29" s="1"/>
  <c r="J7" i="28"/>
  <c r="I11" i="28" s="1"/>
  <c r="F13" i="28" s="1"/>
  <c r="E10" i="29"/>
  <c r="D11" i="29" s="1" a="1"/>
  <c r="D11" i="29" s="1"/>
  <c r="J7" i="27"/>
  <c r="I11" i="27" s="1"/>
  <c r="E10" i="27"/>
  <c r="D11" i="27" s="1" a="1"/>
  <c r="D11" i="27" s="1"/>
  <c r="I6" i="21"/>
  <c r="J6" i="21" s="1"/>
  <c r="I11" i="21" s="1"/>
  <c r="C9" i="21"/>
  <c r="E9" i="21" s="1"/>
  <c r="E10" i="21" s="1"/>
  <c r="E10" i="24"/>
  <c r="D11" i="24" s="1" a="1"/>
  <c r="D11" i="24" s="1"/>
  <c r="J7" i="24"/>
  <c r="I11" i="24" s="1"/>
  <c r="F13" i="24" s="1"/>
  <c r="J7" i="23"/>
  <c r="I11" i="23" s="1"/>
  <c r="E10" i="23"/>
  <c r="D11" i="23" s="1" a="1"/>
  <c r="D11" i="23" s="1"/>
  <c r="J7" i="22"/>
  <c r="I11" i="22" s="1"/>
  <c r="E10" i="22"/>
  <c r="D11" i="22" s="1" a="1"/>
  <c r="D11" i="22" s="1"/>
  <c r="H6" i="20" a="1"/>
  <c r="H6" i="20" s="1"/>
  <c r="G6" i="20" a="1"/>
  <c r="G6" i="20" s="1"/>
  <c r="H7" i="20" a="1"/>
  <c r="H7" i="20" s="1"/>
  <c r="G7" i="20" a="1"/>
  <c r="G7" i="20" s="1"/>
  <c r="H8" i="20" a="1"/>
  <c r="H8" i="20" s="1"/>
  <c r="G8" i="20" a="1"/>
  <c r="G8" i="20" s="1"/>
  <c r="H9" i="20" a="1"/>
  <c r="H9" i="20" s="1"/>
  <c r="G9" i="20" a="1"/>
  <c r="G9" i="20" s="1"/>
  <c r="H10" i="20" a="1"/>
  <c r="H10" i="20" s="1"/>
  <c r="G10" i="20" a="1"/>
  <c r="G10" i="20" s="1"/>
  <c r="H11" i="20" a="1"/>
  <c r="H11" i="20" s="1"/>
  <c r="G11" i="20" a="1"/>
  <c r="G11" i="20" s="1"/>
  <c r="H13" i="20" a="1"/>
  <c r="H13" i="20" s="1"/>
  <c r="G13" i="20" a="1"/>
  <c r="G13" i="20" s="1"/>
  <c r="H14" i="20" a="1"/>
  <c r="H14" i="20" s="1"/>
  <c r="G14" i="20" a="1"/>
  <c r="G14" i="20" s="1"/>
  <c r="H15" i="20" a="1"/>
  <c r="H15" i="20" s="1"/>
  <c r="G15" i="20" a="1"/>
  <c r="G15" i="20" s="1"/>
  <c r="H16" i="20" a="1"/>
  <c r="H16" i="20" s="1"/>
  <c r="G16" i="20" a="1"/>
  <c r="G16" i="20" s="1"/>
  <c r="H17" i="20" a="1"/>
  <c r="H17" i="20" s="1"/>
  <c r="G17" i="20" a="1"/>
  <c r="G17" i="20" s="1"/>
  <c r="H18" i="20" a="1"/>
  <c r="H18" i="20" s="1"/>
  <c r="G18" i="20" a="1"/>
  <c r="G18" i="20" s="1"/>
  <c r="H19" i="20" a="1"/>
  <c r="H19" i="20" s="1"/>
  <c r="G19" i="20" a="1"/>
  <c r="G19" i="20" s="1"/>
  <c r="H20" i="20" a="1"/>
  <c r="H20" i="20" s="1"/>
  <c r="G20" i="20" a="1"/>
  <c r="G20" i="20" s="1"/>
  <c r="H21" i="20" a="1"/>
  <c r="H21" i="20" s="1"/>
  <c r="G21" i="20" a="1"/>
  <c r="G21" i="20" s="1"/>
  <c r="H22" i="20" a="1"/>
  <c r="H22" i="20" s="1"/>
  <c r="G22" i="20" a="1"/>
  <c r="G22" i="20" s="1"/>
  <c r="H23" i="20" a="1"/>
  <c r="H23" i="20" s="1"/>
  <c r="G23" i="20" a="1"/>
  <c r="G23" i="20" s="1"/>
  <c r="I13" i="9"/>
  <c r="E11" i="9"/>
  <c r="D13" i="9" s="1" a="1"/>
  <c r="D13" i="9" s="1"/>
  <c r="D11" i="8"/>
  <c r="C11" i="8" s="1" a="1"/>
  <c r="C11" i="8" s="1"/>
  <c r="H13" i="8"/>
  <c r="W8" i="8"/>
  <c r="W7" i="8"/>
  <c r="F13" i="31" l="1"/>
  <c r="F13" i="29"/>
  <c r="F13" i="27"/>
  <c r="D11" i="21" a="1"/>
  <c r="D11" i="21" s="1"/>
  <c r="F13" i="21"/>
  <c r="F13" i="23"/>
  <c r="F13" i="22"/>
  <c r="F16" i="8"/>
  <c r="F15" i="9"/>
  <c r="H24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<sst xmlns="http://schemas.openxmlformats.org/spreadsheetml/2006/main" count="1429" uniqueCount="331">
  <si>
    <t>NOME</t>
  </si>
  <si>
    <t>FUNÇÃO</t>
  </si>
  <si>
    <t>Abraim Oliveira Silva</t>
  </si>
  <si>
    <t>MARCENARIA</t>
  </si>
  <si>
    <t>Adriano Silva De Araujo</t>
  </si>
  <si>
    <t>Alonso Lucas Trindade</t>
  </si>
  <si>
    <t>Andre Nzalantima</t>
  </si>
  <si>
    <t>Bruno da Silva Cordeiro</t>
  </si>
  <si>
    <t>Everton De Jesus Marinho Santos</t>
  </si>
  <si>
    <t>Gabriel Nascimento Menezes</t>
  </si>
  <si>
    <t>Iago Dias Temoteo</t>
  </si>
  <si>
    <t>José Renato Albuquerque de Sousa</t>
  </si>
  <si>
    <t>Matheus da Silva Cordeiro</t>
  </si>
  <si>
    <t>Maxmiliano Olidio da Silva</t>
  </si>
  <si>
    <t>Washington Rodrigues Da Cunha Silva</t>
  </si>
  <si>
    <t>Willians Silva de Jesus</t>
  </si>
  <si>
    <t>Cauê Souza Lima</t>
  </si>
  <si>
    <t>MONTAGEM</t>
  </si>
  <si>
    <t>Douglas Ferreira dos Reis</t>
  </si>
  <si>
    <t>Erick Ramos da Silva</t>
  </si>
  <si>
    <t>Ernande Liniki Andrade Alves da Silva</t>
  </si>
  <si>
    <t>Jamerson Rodrigues</t>
  </si>
  <si>
    <t>João Marcos Nascimento Leite</t>
  </si>
  <si>
    <t>Kaio Gabriel Ferreira Barbosa</t>
  </si>
  <si>
    <t>Lyrick Andrade Alves da Silva</t>
  </si>
  <si>
    <t>Ulisses Damazio Fernandes</t>
  </si>
  <si>
    <t>Vinicius da Silva</t>
  </si>
  <si>
    <t>Id</t>
  </si>
  <si>
    <t>Hora de início</t>
  </si>
  <si>
    <t>Hora de conclusão</t>
  </si>
  <si>
    <t>Email</t>
  </si>
  <si>
    <t>Nome</t>
  </si>
  <si>
    <t>Seu nome</t>
  </si>
  <si>
    <t>Evento que está avaliando, cidade e data</t>
  </si>
  <si>
    <t>Selecione a área que você faz parte</t>
  </si>
  <si>
    <t>Perda de material/estrutura</t>
  </si>
  <si>
    <t>Comentários ou Justificativa</t>
  </si>
  <si>
    <t>Logística Reversa</t>
  </si>
  <si>
    <t>Comentários ou Justificativa1</t>
  </si>
  <si>
    <t>Qualidade da Entrega</t>
  </si>
  <si>
    <t>Comentários ou Justificativa2</t>
  </si>
  <si>
    <t>Qualidade da Entrega (2)</t>
  </si>
  <si>
    <t>Comentários ou Justificativa3</t>
  </si>
  <si>
    <t>Prazo de entrega</t>
  </si>
  <si>
    <t>Comentários ou Justificativa4</t>
  </si>
  <si>
    <t>Todos os equipamentos e ferramentas retornaram?</t>
  </si>
  <si>
    <t>Comentários ou Justificativa5</t>
  </si>
  <si>
    <t>Carga na saída do galpão</t>
  </si>
  <si>
    <t>Comentários ou Justificativa6</t>
  </si>
  <si>
    <t>Todos usaram EPI na arena?</t>
  </si>
  <si>
    <t>Comentários ou Justificativa7</t>
  </si>
  <si>
    <t>Estaiamento e Aterramento foram feitos de maneira correta?</t>
  </si>
  <si>
    <t>Comentários ou Justificativa8</t>
  </si>
  <si>
    <t>Conduta e comportamento foram adequados?</t>
  </si>
  <si>
    <t>Comentários ou Justificativa9</t>
  </si>
  <si>
    <t>Alguém faltou ou atrasou por mais de 30 minutos? Especifique.</t>
  </si>
  <si>
    <t>Algum profissional teve um desempenho fora da curva, se destacando dos demais pela eficiência ou proatividade?</t>
  </si>
  <si>
    <t>Conte quem se destacou e o que foi feito.</t>
  </si>
  <si>
    <t>Classifique o nível do desempenho dessa pessoa</t>
  </si>
  <si>
    <t>anônima</t>
  </si>
  <si>
    <t>Giovanni Bertoni</t>
  </si>
  <si>
    <t xml:space="preserve">Urban Walk </t>
  </si>
  <si>
    <t>Ferramentas e Case (Cenografia)</t>
  </si>
  <si>
    <t>Sim</t>
  </si>
  <si>
    <t xml:space="preserve">as cases retornaram em ordem </t>
  </si>
  <si>
    <t xml:space="preserve">Copa Sabesp </t>
  </si>
  <si>
    <t>Blue Run Piracicaba</t>
  </si>
  <si>
    <t xml:space="preserve">cases retornaram em ordem </t>
  </si>
  <si>
    <t>Eco Run SP</t>
  </si>
  <si>
    <t xml:space="preserve">todas as cases retornaram em ordem </t>
  </si>
  <si>
    <t xml:space="preserve">Desafio Petrobrás - Corrida RJ </t>
  </si>
  <si>
    <t>Corrida Vale Vitória</t>
  </si>
  <si>
    <t xml:space="preserve">Maratona de Floripa </t>
  </si>
  <si>
    <t>Girl Power BH</t>
  </si>
  <si>
    <t>circuito srun sorocaba</t>
  </si>
  <si>
    <t xml:space="preserve">Lucas vicenzo da Silva Proença </t>
  </si>
  <si>
    <t>NIGHT RUN - ETAPA 1 - MARINGÁ - 21/06</t>
  </si>
  <si>
    <t>Produção</t>
  </si>
  <si>
    <t>Entregaram tudo muito bem. Sem problemas.</t>
  </si>
  <si>
    <t xml:space="preserve">Agatha </t>
  </si>
  <si>
    <t>Atendimento</t>
  </si>
  <si>
    <t xml:space="preserve">Elogiado pelo cliente </t>
  </si>
  <si>
    <t>Agatha</t>
  </si>
  <si>
    <t>CIRCUITO DE CORRIDAS VALE - SÃO LUÍS - 21/06</t>
  </si>
  <si>
    <t>Leonardo Almeida</t>
  </si>
  <si>
    <t>SÓ QUERO PEDALAR - RECIFE - 21/06</t>
  </si>
  <si>
    <t>Equipe bem responsavel e dedicada.</t>
  </si>
  <si>
    <t>35º TROFÉU BRASIL DE TRIATHLON - ETAPA 2 - 21/06</t>
  </si>
  <si>
    <t>C.E. INVERNO- MANAUS - 21/06</t>
  </si>
  <si>
    <t>C.E. INVERNO - PORTO ALEGRE - 21/06</t>
  </si>
  <si>
    <t>DESAFIO ENERGIA PETROBRÁS - PASSEIO BIKE - SP - 21/06</t>
  </si>
  <si>
    <t>C.E. INVERNO - FORTALEZA - 21/06</t>
  </si>
  <si>
    <t>C.E. INVERNO - SÃO JOSÉ DOS CAMPOS - 21/06</t>
  </si>
  <si>
    <t xml:space="preserve">Edney Eduardo de Siqueira </t>
  </si>
  <si>
    <t>SMART FIT - RIO DE JANEIRO - 21/06</t>
  </si>
  <si>
    <t xml:space="preserve">Equipe bem alinhada e comprometida. </t>
  </si>
  <si>
    <t>FRED</t>
  </si>
  <si>
    <t>CORRIDA VALE VITÓRIA</t>
  </si>
  <si>
    <t>Cenografia</t>
  </si>
  <si>
    <t>9 malotes foram no fundo da carreta atrás de pallets de isotonico que não seriam usados nessa prova.</t>
  </si>
  <si>
    <t>não</t>
  </si>
  <si>
    <t>Sim, houve um grande destaque</t>
  </si>
  <si>
    <t>Cenotécnico Bruno Cordeiro - Comandou a marcenaria, reconstruiu back drop do palco, ajudou na modulação de box dos qudros , instalou Back drop dos estandes, além de se prontificar a ajudar em tudo.</t>
  </si>
  <si>
    <t>2. Extraordinário, entregou uma performance espetacular e única!</t>
  </si>
  <si>
    <t xml:space="preserve">Gabriel Bernardineli </t>
  </si>
  <si>
    <t xml:space="preserve">Blue run Piracicaba </t>
  </si>
  <si>
    <t>Tudo conforme o planejado</t>
  </si>
  <si>
    <t xml:space="preserve">Não </t>
  </si>
  <si>
    <t>Não, tudo dentro padrão esperado.</t>
  </si>
  <si>
    <t xml:space="preserve">Paulo Roberto da Silva </t>
  </si>
  <si>
    <t>Urban Walk São paulo13/06/2026</t>
  </si>
  <si>
    <t xml:space="preserve">Foi bem tranquilo, atendeu todos envolvidos </t>
  </si>
  <si>
    <t>Não</t>
  </si>
  <si>
    <t>Sem nota ...foi a carreta que tombou...A carga saiu certinha de Vitória</t>
  </si>
  <si>
    <t>nao</t>
  </si>
  <si>
    <t>Bruno Cordeiro - Cenotecnico.... reconstruiu variados tipos de peças que quebraram , ajudou em todos os setores, até bateu grade na madrugada. muito prestativo.</t>
  </si>
  <si>
    <t xml:space="preserve">Luciano do Nascimento </t>
  </si>
  <si>
    <t>Vou dar 10 para a equipe que trabalhou porém eram 2  marceneiros e só foi 1 esse trabalhou por 2</t>
  </si>
  <si>
    <t>Camilla Lopes Pereira</t>
  </si>
  <si>
    <t>Não atingiu a nota máxima devido ao estado dos tetos dos stands, principalmente área vip. Marcas brancas com um impacto visual significativo</t>
  </si>
  <si>
    <t>Guilherme Flauzino</t>
  </si>
  <si>
    <t>DESAFIO ENERGIA PETROBRÁS, RIO DE JANEIRO, 14.06.2026</t>
  </si>
  <si>
    <t>TUDO OK</t>
  </si>
  <si>
    <t>falta de windbanner</t>
  </si>
  <si>
    <t>Renan Mota</t>
  </si>
  <si>
    <t xml:space="preserve">Atendeu conforme o Cronograma , </t>
  </si>
  <si>
    <t>Reinaldo Ribeiro de Sousa</t>
  </si>
  <si>
    <t>NIGHT RUN - ETAPA 1 - JOINVILLE - 28/06</t>
  </si>
  <si>
    <t>Ativação</t>
  </si>
  <si>
    <t xml:space="preserve">Não cortaram bem as pontas dos halleman dos 2x1 teve uma situação durante o evento, que quase machucou o braço do atleta que encostou no 2x1. Não colocaram as rampas nos 2 Stands, e elas nem mesmo estavam na arena, deixaram no caminhão, e o caminhão não estava nem perto da arena. Alguns 2x1 o rolo não estavam esticado, até tive que esticar em alguns, pra não ficar mal apresentado. Só fizeram 5 balcões, sendo que na O.S tinham 6 claramente. Eu ainda os comuniquei na arena para fazer os 6, mas justificaram que o material já estava também dentro do caminhão, não foi feito, e coloquei um mini pranchão para a entrega de kit no GV, para não ficar com desfalque do balcão no quadro de assinaturas. </t>
  </si>
  <si>
    <t xml:space="preserve">Igor Pinheiro </t>
  </si>
  <si>
    <t>CE inverno - Vitória 28/06/2026</t>
  </si>
  <si>
    <t xml:space="preserve">Entregaram os stands com acabamento bom, não tive nada a pontuar, equipe super atenciosa. </t>
  </si>
  <si>
    <t xml:space="preserve">Myrella Brito Del Freu </t>
  </si>
  <si>
    <t>C. E. INVERNO - RIBEIRÃO PRETO - 28/06</t>
  </si>
  <si>
    <t>Devido à falta de material para montagem, faltou rampa nos estandes, antes de positivar os 2X1 no estandes tive que revisar</t>
  </si>
  <si>
    <t xml:space="preserve">Bruna Cordeiro </t>
  </si>
  <si>
    <t xml:space="preserve">CE Inverno BSB </t>
  </si>
  <si>
    <t>Não precisei pedir para os meninos arrumar nada. Tava tudo bem.</t>
  </si>
  <si>
    <t xml:space="preserve">Natasha Freitas </t>
  </si>
  <si>
    <t>ECO RUN, POA, 28/06</t>
  </si>
  <si>
    <t xml:space="preserve">Saias dos balcões rasgadas no meio. Porém, ajudaram na falta de capa da tina e deram um acabamento com tecido nos pranchões do Espaço Verde </t>
  </si>
  <si>
    <t>Naiara Daiane Souza</t>
  </si>
  <si>
    <t>Night Run Manaus 27/06</t>
  </si>
  <si>
    <t xml:space="preserve">Como choveu bastante na sexta-feira e o risco de faltar material para os balcões vermelhos a finalização deles ficaram por ultimo </t>
  </si>
  <si>
    <t>Marta Andrade</t>
  </si>
  <si>
    <t>BB SSA- 28.06.26</t>
  </si>
  <si>
    <t>Tapadeiras com emendas e acabamento das mesmas muito ruins, palco mal acabado</t>
  </si>
  <si>
    <t xml:space="preserve">Rafael Bispo da Silva </t>
  </si>
  <si>
    <t>SO QUERO PEDALAR SSA, 28/06</t>
  </si>
  <si>
    <t>Algumas colunas estavam levemente rasgadas. O teto tava bem ruim devido o desgaste de uso.</t>
  </si>
  <si>
    <t xml:space="preserve">Raphael Schiabel Telles </t>
  </si>
  <si>
    <t>Night run Manaus dia 27/06</t>
  </si>
  <si>
    <t xml:space="preserve">Faltou informação sobre o qu seria usado da carreta de estações , não fomos avisados do que usaríamos da carreta que fica em Manaus , tivemos que descarregar ela inteira pra que pudéssemos achar todos materiais necessários </t>
  </si>
  <si>
    <t>Todos com epis</t>
  </si>
  <si>
    <t>Ok</t>
  </si>
  <si>
    <t>Equipe muito boa</t>
  </si>
  <si>
    <t xml:space="preserve">Tivemos atrasos dos freelancer de meia hora por motivos de chuva </t>
  </si>
  <si>
    <t>Não, tudo dentro do padrão esperado.</t>
  </si>
  <si>
    <t xml:space="preserve">Gabriel </t>
  </si>
  <si>
    <t>Tudo conforme a ATA</t>
  </si>
  <si>
    <t>Nao</t>
  </si>
  <si>
    <t xml:space="preserve">Bruno Dias Gomes </t>
  </si>
  <si>
    <t>Estações Inverno Vitória- 25 a 28/06</t>
  </si>
  <si>
    <t>Faltando material e material avariado</t>
  </si>
  <si>
    <t>Tudo ok</t>
  </si>
  <si>
    <t xml:space="preserve">Foi colocado estaio e aterramento em todas as estruturas metálicas </t>
  </si>
  <si>
    <t xml:space="preserve">Sem nenhum problema </t>
  </si>
  <si>
    <t>Jeferson da costa lima</t>
  </si>
  <si>
    <t>Carga muito bem feita e dividida</t>
  </si>
  <si>
    <t>Todos estavam com EPi</t>
  </si>
  <si>
    <t xml:space="preserve">Nicolas </t>
  </si>
  <si>
    <t xml:space="preserve">Estações inverno Brasília </t>
  </si>
  <si>
    <t xml:space="preserve">Quando cheguei o caminhão já estava descarregado </t>
  </si>
  <si>
    <t>Willians não conseguiu trabalhar sábado e domingo porque está com dengue</t>
  </si>
  <si>
    <t xml:space="preserve">Fernanda Toussaint </t>
  </si>
  <si>
    <t>Banco do Brasil - Salvador 28/06</t>
  </si>
  <si>
    <t>Foi enviado material podre , o Bruno precisou fazer uma testeira do zero e arrumar 3 . O videowall veio faltando peça e ele precisou fazer um novo , faltou pé de totem e ele precisou fazer 2 .</t>
  </si>
  <si>
    <t xml:space="preserve">Todos de Epi </t>
  </si>
  <si>
    <t>Foi informado que o Rafael ( empresa de box) faria e não faz , o vini precisou comprar para nossa equipe fazer .</t>
  </si>
  <si>
    <t xml:space="preserve">Bruno , precisou reformar e criar material </t>
  </si>
  <si>
    <t>Fernanda Toussaint</t>
  </si>
  <si>
    <t>Smart Fit - Rio de Janeiro - 21/06</t>
  </si>
  <si>
    <t xml:space="preserve">Faltou peça , conseguimos dar um jeito </t>
  </si>
  <si>
    <t xml:space="preserve">Um freela chegou atrasado por causa de condução </t>
  </si>
  <si>
    <t xml:space="preserve">José Renato precisou construir uma coluna para o estande de 18x6 para colocar no meio entre os bk , não foi enviado e precisou reformar uma madeira velha ou não seria entregue </t>
  </si>
  <si>
    <t>RUBEM ISMAEL VASQUES</t>
  </si>
  <si>
    <t>A ENTREGA POR PARTE DA CENOGRAFIA FOI MUITO BOA, COM TODOS OS PROBLEMAS QUE TIVEMOS COM A CARRETA E O MATERIAL DO JEITO QUE CHEGOU ELES MANDARAM MUITO BEM</t>
  </si>
  <si>
    <t>ALINE CANDIDO DA SILVA</t>
  </si>
  <si>
    <t>CIRCUITO DAS ESTAÇÕES - SÃO PAULO</t>
  </si>
  <si>
    <t>Bom, foi um evento muito grande e com uma entrega bem conturbada em questões de cenografia, acho que o nosso grande ponto foi com o produtor freela que foi de cenografia (Marco) o mesmo tinha um total de zero educação, falou alto, se alterou e queria que a gente acompanhasse ele no cercamento dos estandes, já havia explicado pra ele 3x o jeito que precisava ser feito, acredito que ele precise de um briefing melhor de quem esta interno, Gabriel tinha todos os outros problemas para resolver e o cara só precisava cercar os estandes, acho que nosso grande problema foi esse, todos os outros problemas que tinhamos foram resolvidos, Gabriel e Alonso nos ajudaram muito com todas as demandas que pedimos e tudo que precisamos chegando na madrugada eles também arrumaram.</t>
  </si>
  <si>
    <t>LUCIANO DO NASCIMENTO</t>
  </si>
  <si>
    <t>HOUVE ATRASOS PELA FALTA DE MATERIAIS E EQUIPAMENTOS, GRAMPEADORES 3 FORAM QUEBRADOS, FALTA DE MADEIRA ETIVERAM QUE CONSTRUIR TODO ENXOVAL NO EVENTO, LEMBRANDO QUE ESSA NOTA NÃO PELA EQUIPE EM CAMPO MAS E SIM PELOS MATERIAIS QUE NÃO FORAM, A EQUIPE NO EVENTO TRABALHOU MUITO E CORREU PARA ENTREGAR.</t>
  </si>
  <si>
    <t>Manoel Carlos</t>
  </si>
  <si>
    <t>Cronograma de entrega dentro do prazo</t>
  </si>
  <si>
    <t xml:space="preserve">Ana Cláudia Motta </t>
  </si>
  <si>
    <t>entrega do evento foi bem executada, toda a operação fluiu de forma tranquila.</t>
  </si>
  <si>
    <t>NIGHT RUN - ETAPA 1 - MANAUS - 28/06</t>
  </si>
  <si>
    <t>C.E. INVERNO - BRASÍLIA - 28/06</t>
  </si>
  <si>
    <t>ANA CLÁUDIA MOTTA</t>
  </si>
  <si>
    <t>C.E. INVERNO - SÃO PAULO - 28/06</t>
  </si>
  <si>
    <t xml:space="preserve">ANA CLÁUDIA MOTTA </t>
  </si>
  <si>
    <t>ECO RUN - PORTO ALEGRE - 28/06</t>
  </si>
  <si>
    <t>SÓ QUERO PEDALAR - NUBANK - SALVADOR - 28/06</t>
  </si>
  <si>
    <t>C.E. INVERNO - VITÓRIA - 28/06</t>
  </si>
  <si>
    <t xml:space="preserve">cases voltaram em ordem </t>
  </si>
  <si>
    <t xml:space="preserve">case seguiu em ordem para o proximo evento do tour </t>
  </si>
  <si>
    <t xml:space="preserve">case retornou em ordem </t>
  </si>
  <si>
    <t>case retornou em ordem</t>
  </si>
  <si>
    <t>LONGEVIDADE BRADESCO - CAMPINAS - 28/06</t>
  </si>
  <si>
    <t>Sandro Paiva</t>
  </si>
  <si>
    <t>Logística</t>
  </si>
  <si>
    <t xml:space="preserve">01 carrinho plataforma quebrado, 02 geradores quebrados e estão faltando 03 cavaletes de trânsito. </t>
  </si>
  <si>
    <t>Carga voltou adequado.</t>
  </si>
  <si>
    <t>Sem perdas e avarias</t>
  </si>
  <si>
    <t>A carga retornou adequado.</t>
  </si>
  <si>
    <t xml:space="preserve">01 Carrinho plataforma danificado. </t>
  </si>
  <si>
    <t>Estão faltando 03 cavaletes de trânsito, 02 geradores quebrados e 01 carrinho plataforma quebrado.</t>
  </si>
  <si>
    <t>A carga voltou adequado.</t>
  </si>
  <si>
    <t>Produtor de Cenografia, Rafael entregou a prova no prazo e com excelência</t>
  </si>
  <si>
    <t xml:space="preserve">Geuderson </t>
  </si>
  <si>
    <t>Algumas imagens ficaram amassada e tivemos que pedir para esticar   O restante foi entregue a contento</t>
  </si>
  <si>
    <t>GUILHERME FLAUZINO</t>
  </si>
  <si>
    <t>FALTOU CINTA CATRACA E PRANCHÃO 2X1</t>
  </si>
  <si>
    <t>NÃO</t>
  </si>
  <si>
    <t>Estações Inveno Brasília 28/06</t>
  </si>
  <si>
    <t xml:space="preserve">Quando cheguei em Brasília o caminhão já estava sendo descarregado </t>
  </si>
  <si>
    <t xml:space="preserve">Sim , Willians ficou dois dias sem trabalhar pq estava se sentindo mal , levamos para o hospital foi diagnosticado com dengue </t>
  </si>
  <si>
    <t xml:space="preserve">Luiz Henrique Falcão </t>
  </si>
  <si>
    <t>Night Run Joinville</t>
  </si>
  <si>
    <t>Material completo</t>
  </si>
  <si>
    <t>Não, equipe sempre completa no horário combinado.</t>
  </si>
  <si>
    <t>Estações inverno Vitória 25 a 28/06</t>
  </si>
  <si>
    <t>Faltando material básico tipo sarrafo mas de resto ok</t>
  </si>
  <si>
    <t>Feitos de acordo com as normas</t>
  </si>
  <si>
    <t>vinicius alexandre da silva</t>
  </si>
  <si>
    <t>SÓ QUERO PEDALAR - SALVADOR - 28/06/2026</t>
  </si>
  <si>
    <t>A carga saiu diretamente de recife, não veio exatamente nos conformes. Porém não é culpa dos meninos que estavam em salvador</t>
  </si>
  <si>
    <t>todos usaram epi e uniforme sem pedir</t>
  </si>
  <si>
    <t>Ficamos responsáveios pelo ateramento, foi feito da forma correta e aprovada pelos bombeiros. A Marceneiro Adriano tocou muito bem a montagem com zero reclamações.</t>
  </si>
  <si>
    <t>Adriano super responsável, soube tocar bem a equipe e otimo com acabamento</t>
  </si>
  <si>
    <t>Não.</t>
  </si>
  <si>
    <t>Adriano Araújo</t>
  </si>
  <si>
    <t>nome</t>
  </si>
  <si>
    <t>ocorrencia</t>
  </si>
  <si>
    <t>data</t>
  </si>
  <si>
    <t>fulano</t>
  </si>
  <si>
    <t>falta</t>
  </si>
  <si>
    <t>cicrano</t>
  </si>
  <si>
    <t>atraso</t>
  </si>
  <si>
    <t>mérito 1</t>
  </si>
  <si>
    <t>mérito 2</t>
  </si>
  <si>
    <t>beltrano</t>
  </si>
  <si>
    <t>mérito galpão</t>
  </si>
  <si>
    <t>Colaborador</t>
  </si>
  <si>
    <t>Nota</t>
  </si>
  <si>
    <t>Eventos</t>
  </si>
  <si>
    <t>Data</t>
  </si>
  <si>
    <t>Observação</t>
  </si>
  <si>
    <t>42K DE FLORIPA</t>
  </si>
  <si>
    <t>GIRL POWER - BELO HORIZONTE</t>
  </si>
  <si>
    <t>CIRCUITO S RUN - SOROCABA</t>
  </si>
  <si>
    <t>URBAN WALK - SÃO PAULO</t>
  </si>
  <si>
    <t>COPA SABESP - SP</t>
  </si>
  <si>
    <t>BLUE RUN - PIRACICABA</t>
  </si>
  <si>
    <t>ECO RUN - SÃO PAULO</t>
  </si>
  <si>
    <t>DESAFIO ENERGIA PETROBRÁS - CORRIDA - RJ</t>
  </si>
  <si>
    <t>CORRIDA VALE - VITÓRIA</t>
  </si>
  <si>
    <t>CIRCUITO DE CORRIDAS VALE - SÃO LUÍS</t>
  </si>
  <si>
    <t>35º TROFÉU BRASIL DE TRIATHLON - ETAPA 2</t>
  </si>
  <si>
    <t>C.E. INVERNO- MANAUS</t>
  </si>
  <si>
    <t>C.E. INVERNO - PORTO ALEGRE</t>
  </si>
  <si>
    <t>DESAFIO ENERGIA PETROBRÁS - PASSEIO BIKE - SP</t>
  </si>
  <si>
    <t>C.E. INVERNO - FORTALEZA</t>
  </si>
  <si>
    <t>SÓ QUERO PEDALAR - RECIFE</t>
  </si>
  <si>
    <t>C.E. INVERNO - SÃO JOSÉ DOS CAMPOS</t>
  </si>
  <si>
    <t>SMART FIT - RIO DE JANEIRO</t>
  </si>
  <si>
    <t>NIGHT RUN - ETAPA 1 - MARINGÁ</t>
  </si>
  <si>
    <t>Evento</t>
  </si>
  <si>
    <t>42K DE FLORIPA - 07/06</t>
  </si>
  <si>
    <t>Conformidade</t>
  </si>
  <si>
    <t>Performance</t>
  </si>
  <si>
    <t>RESPOSTAS ORIGINAIS</t>
  </si>
  <si>
    <t>Item</t>
  </si>
  <si>
    <t>status</t>
  </si>
  <si>
    <t>Comentários</t>
  </si>
  <si>
    <t>Peso</t>
  </si>
  <si>
    <t>Total</t>
  </si>
  <si>
    <t>Área</t>
  </si>
  <si>
    <t>Avaliador</t>
  </si>
  <si>
    <t>Comentários - Performance</t>
  </si>
  <si>
    <t>Comentários - Conformidade</t>
  </si>
  <si>
    <t>Qualidade da entrega</t>
  </si>
  <si>
    <t>Qualidade da entrega 2</t>
  </si>
  <si>
    <t xml:space="preserve">Logistica Reversa </t>
  </si>
  <si>
    <t>Houveram atrasos ou faltas?</t>
  </si>
  <si>
    <t>Desempenho para mérito?</t>
  </si>
  <si>
    <t>Pontuação final do Evento</t>
  </si>
  <si>
    <t xml:space="preserve">
</t>
  </si>
  <si>
    <t>TESTE outono</t>
  </si>
  <si>
    <t>(Tudo)</t>
  </si>
  <si>
    <t>Soma de Nota</t>
  </si>
  <si>
    <t>Contagem de Eventos</t>
  </si>
  <si>
    <t>Pontos de mérito</t>
  </si>
  <si>
    <t>Atrasos e Faltas</t>
  </si>
  <si>
    <t>Média</t>
  </si>
  <si>
    <t>Pelotão</t>
  </si>
  <si>
    <t>Bônus Cajú</t>
  </si>
  <si>
    <t>Total Geral</t>
  </si>
  <si>
    <t>EVENTO</t>
  </si>
  <si>
    <t>CIRCUITO BANCO DO BRASIL - SALVADOR - 28/06</t>
  </si>
  <si>
    <t>CONFORMIDADE - RESPOSTAS ORIGINAIS</t>
  </si>
  <si>
    <t>PERFORMANCE - RESPOSTAS ORIGINAIS</t>
  </si>
  <si>
    <t>ÁREA DE CENOGRAFIA</t>
  </si>
  <si>
    <t/>
  </si>
  <si>
    <t>Entregaram bem</t>
  </si>
  <si>
    <t>resposta pendente</t>
  </si>
  <si>
    <t>caminhão não voltou</t>
  </si>
  <si>
    <t>A ENTREGA POR PARTE DA CENOGRAFIA FOI BOA</t>
  </si>
  <si>
    <t>não voltou ainda</t>
  </si>
  <si>
    <t>1 guarda corpo quebrado</t>
  </si>
  <si>
    <t>arena pequena e entrega só as 19h</t>
  </si>
  <si>
    <t>carga de água não veio bem compactada</t>
  </si>
  <si>
    <t>segundo carro não voltou</t>
  </si>
  <si>
    <t>ok</t>
  </si>
  <si>
    <t>faltou aplique do palco</t>
  </si>
  <si>
    <t>Atendeu</t>
  </si>
  <si>
    <t>Equipe responsavel</t>
  </si>
  <si>
    <t>não voltou</t>
  </si>
  <si>
    <t>Carga bem feita e dividida</t>
  </si>
  <si>
    <t>Atrasou apesar de 2 dias de montagem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</si>
</sst>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Equipe -&quot;\ @"/>
    <numFmt numFmtId="165" formatCode="_-[$R$-416]\ * #,##0.00_-;\-[$R$-416]\ * #,##0.00_-;_-[$R$-416]\ * &quot;-&quot;??_-;_-@_-"/>
    <numFmt numFmtId="166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2"/>
      <color theme="0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4"/>
      <color theme="0"/>
      <name val="Calibri"/>
      <scheme val="minor"/>
    </font>
    <font>
      <b/>
      <sz val="14"/>
      <color theme="1"/>
      <name val="Calibri"/>
      <scheme val="minor"/>
    </font>
    <font>
      <b/>
      <sz val="11"/>
      <color rgb="FFFF4500"/>
      <name val="Calibri"/>
      <scheme val="minor"/>
    </font>
    <font>
      <b/>
      <sz val="14"/>
      <color theme="0"/>
      <name val="Calibri"/>
      <scheme val="minor"/>
    </font>
    <font>
      <sz val="11"/>
      <color rgb="FFFF4500"/>
      <name val="Calibri"/>
      <scheme val="minor"/>
    </font>
    <font>
      <b/>
      <sz val="11"/>
      <color rgb="FF000000"/>
      <name val="Calibri"/>
      <scheme val="minor"/>
    </font>
    <font>
      <i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b/>
      <i/>
      <sz val="11"/>
      <color theme="1"/>
      <name val="Calibri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45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424B3"/>
        <bgColor indexed="64"/>
      </patternFill>
    </fill>
    <fill>
      <patternFill patternType="solid">
        <fgColor rgb="FFF7670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4" tint="0.79998168889431442"/>
        <bgColor indexed="64"/>
      </patternFill>
    </fill>
  </fills>
  <borders count="10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4500"/>
      </left>
      <right/>
      <top style="medium">
        <color rgb="FFFF4500"/>
      </top>
      <bottom/>
      <diagonal/>
    </border>
    <border>
      <left/>
      <right/>
      <top style="medium">
        <color rgb="FFFF4500"/>
      </top>
      <bottom/>
      <diagonal/>
    </border>
    <border>
      <left/>
      <right style="medium">
        <color rgb="FFFF4500"/>
      </right>
      <top style="medium">
        <color rgb="FFFF4500"/>
      </top>
      <bottom/>
      <diagonal/>
    </border>
    <border>
      <left style="medium">
        <color rgb="FFFF45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FF45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4500"/>
      </left>
      <right style="thin">
        <color rgb="FF000000"/>
      </right>
      <top style="thin">
        <color rgb="FF000000"/>
      </top>
      <bottom style="medium">
        <color rgb="FFFF45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4500"/>
      </bottom>
      <diagonal/>
    </border>
    <border>
      <left style="thin">
        <color rgb="FF000000"/>
      </left>
      <right/>
      <top style="thin">
        <color rgb="FF000000"/>
      </top>
      <bottom style="medium">
        <color rgb="FFFF4500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FF45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FF45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 style="medium">
        <color rgb="FFFF4500"/>
      </right>
      <top style="thin">
        <color theme="1"/>
      </top>
      <bottom style="thin">
        <color rgb="FF000000"/>
      </bottom>
      <diagonal/>
    </border>
    <border>
      <left style="medium">
        <color rgb="FFFF4500"/>
      </left>
      <right style="thin">
        <color rgb="FF000000"/>
      </right>
      <top style="medium">
        <color rgb="FFFF4500"/>
      </top>
      <bottom/>
      <diagonal/>
    </border>
    <border>
      <left style="thin">
        <color rgb="FF000000"/>
      </left>
      <right style="thin">
        <color rgb="FF000000"/>
      </right>
      <top style="medium">
        <color rgb="FFFF4500"/>
      </top>
      <bottom/>
      <diagonal/>
    </border>
    <border>
      <left style="thin">
        <color rgb="FF000000"/>
      </left>
      <right/>
      <top style="medium">
        <color rgb="FFFF4500"/>
      </top>
      <bottom/>
      <diagonal/>
    </border>
    <border>
      <left style="medium">
        <color rgb="FF000000"/>
      </left>
      <right/>
      <top style="medium">
        <color rgb="FFFF4500"/>
      </top>
      <bottom/>
      <diagonal/>
    </border>
    <border>
      <left style="thin">
        <color rgb="FF000000"/>
      </left>
      <right style="medium">
        <color rgb="FFFF4500"/>
      </right>
      <top style="medium">
        <color rgb="FFFF450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000000"/>
      </left>
      <right style="thin">
        <color theme="1"/>
      </right>
      <top/>
      <bottom style="medium">
        <color rgb="FFFF4500"/>
      </bottom>
      <diagonal/>
    </border>
    <border>
      <left style="thin">
        <color theme="1"/>
      </left>
      <right style="thin">
        <color theme="1"/>
      </right>
      <top/>
      <bottom style="medium">
        <color rgb="FFFF4500"/>
      </bottom>
      <diagonal/>
    </border>
    <border>
      <left style="thin">
        <color theme="1"/>
      </left>
      <right style="medium">
        <color rgb="FFFF4500"/>
      </right>
      <top/>
      <bottom style="medium">
        <color rgb="FFFF4500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rgb="FF000000"/>
      </left>
      <right style="medium">
        <color rgb="FFFF4500"/>
      </right>
      <top style="thin">
        <color rgb="FF000000"/>
      </top>
      <bottom style="medium">
        <color rgb="FFFF45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FF4500"/>
      </right>
      <top/>
      <bottom/>
      <diagonal/>
    </border>
    <border>
      <left style="medium">
        <color rgb="FFFF45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4500"/>
      </left>
      <right style="thin">
        <color theme="1"/>
      </right>
      <top style="medium">
        <color rgb="FFFF45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FF4500"/>
      </top>
      <bottom style="thin">
        <color theme="1"/>
      </bottom>
      <diagonal/>
    </border>
    <border>
      <left style="thin">
        <color theme="1"/>
      </left>
      <right style="medium">
        <color rgb="FFFF4500"/>
      </right>
      <top style="medium">
        <color rgb="FFFF4500"/>
      </top>
      <bottom style="thin">
        <color theme="1"/>
      </bottom>
      <diagonal/>
    </border>
    <border>
      <left style="thin">
        <color rgb="FF000000"/>
      </left>
      <right style="medium">
        <color rgb="FFFF45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45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8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/>
    <xf numFmtId="0" fontId="3" fillId="0" borderId="0" xfId="0" applyFont="1"/>
    <xf numFmtId="16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8" fillId="0" borderId="17" xfId="0" applyFont="1" applyBorder="1" applyAlignment="1">
      <alignment horizontal="center" vertical="center"/>
    </xf>
    <xf numFmtId="2" fontId="6" fillId="3" borderId="27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1" applyNumberFormat="1" applyFont="1" applyFill="1" applyBorder="1" applyAlignment="1">
      <alignment horizontal="center" vertical="center"/>
    </xf>
    <xf numFmtId="2" fontId="6" fillId="0" borderId="0" xfId="1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3" borderId="28" xfId="0" applyFont="1" applyFill="1" applyBorder="1" applyAlignment="1">
      <alignment horizontal="center" vertical="center" wrapText="1"/>
    </xf>
    <xf numFmtId="2" fontId="5" fillId="2" borderId="29" xfId="0" applyNumberFormat="1" applyFont="1" applyFill="1" applyBorder="1" applyAlignment="1">
      <alignment horizontal="center" vertical="center" wrapText="1"/>
    </xf>
    <xf numFmtId="2" fontId="5" fillId="2" borderId="30" xfId="0" applyNumberFormat="1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8" fillId="0" borderId="0" xfId="0" applyFont="1"/>
    <xf numFmtId="0" fontId="14" fillId="5" borderId="20" xfId="0" applyFont="1" applyFill="1" applyBorder="1" applyAlignment="1">
      <alignment horizontal="left" vertical="center" wrapText="1"/>
    </xf>
    <xf numFmtId="0" fontId="14" fillId="5" borderId="22" xfId="0" applyFont="1" applyFill="1" applyBorder="1" applyAlignment="1">
      <alignment horizontal="left" vertical="center" wrapText="1"/>
    </xf>
    <xf numFmtId="0" fontId="14" fillId="5" borderId="25" xfId="0" applyFont="1" applyFill="1" applyBorder="1" applyAlignment="1">
      <alignment horizontal="left" vertical="center" wrapText="1"/>
    </xf>
    <xf numFmtId="0" fontId="2" fillId="4" borderId="0" xfId="0" applyFont="1" applyFill="1"/>
    <xf numFmtId="0" fontId="9" fillId="10" borderId="19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/>
    </xf>
    <xf numFmtId="0" fontId="10" fillId="6" borderId="4" xfId="0" applyFont="1" applyFill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9" fillId="3" borderId="10" xfId="0" applyFont="1" applyFill="1" applyBorder="1" applyAlignment="1">
      <alignment vertical="center" wrapText="1"/>
    </xf>
    <xf numFmtId="2" fontId="13" fillId="2" borderId="14" xfId="0" applyNumberFormat="1" applyFont="1" applyFill="1" applyBorder="1" applyAlignment="1">
      <alignment vertical="center"/>
    </xf>
    <xf numFmtId="0" fontId="15" fillId="4" borderId="57" xfId="0" applyFont="1" applyFill="1" applyBorder="1" applyAlignment="1">
      <alignment horizontal="center" vertical="center" wrapText="1"/>
    </xf>
    <xf numFmtId="0" fontId="16" fillId="5" borderId="52" xfId="0" applyFont="1" applyFill="1" applyBorder="1" applyAlignment="1">
      <alignment horizontal="left" vertical="center" wrapText="1"/>
    </xf>
    <xf numFmtId="0" fontId="16" fillId="5" borderId="65" xfId="0" applyFont="1" applyFill="1" applyBorder="1" applyAlignment="1">
      <alignment vertical="center"/>
    </xf>
    <xf numFmtId="2" fontId="6" fillId="3" borderId="4" xfId="1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5" fillId="2" borderId="82" xfId="0" applyNumberFormat="1" applyFont="1" applyFill="1" applyBorder="1" applyAlignment="1">
      <alignment horizontal="center" vertical="center" wrapText="1"/>
    </xf>
    <xf numFmtId="0" fontId="6" fillId="4" borderId="68" xfId="0" applyFont="1" applyFill="1" applyBorder="1" applyAlignment="1">
      <alignment horizontal="center" vertical="center"/>
    </xf>
    <xf numFmtId="0" fontId="6" fillId="4" borderId="69" xfId="0" applyFont="1" applyFill="1" applyBorder="1" applyAlignment="1">
      <alignment horizontal="center" vertical="center" wrapText="1"/>
    </xf>
    <xf numFmtId="0" fontId="17" fillId="1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13" borderId="89" xfId="0" applyFont="1" applyFill="1" applyBorder="1" applyAlignment="1">
      <alignment horizontal="center" vertical="center" wrapText="1"/>
    </xf>
    <xf numFmtId="0" fontId="19" fillId="13" borderId="90" xfId="0" applyFont="1" applyFill="1" applyBorder="1" applyAlignment="1">
      <alignment horizontal="center" vertical="center" wrapText="1"/>
    </xf>
    <xf numFmtId="0" fontId="19" fillId="13" borderId="91" xfId="0" applyFont="1" applyFill="1" applyBorder="1" applyAlignment="1">
      <alignment horizontal="center" vertical="center" wrapText="1"/>
    </xf>
    <xf numFmtId="0" fontId="19" fillId="13" borderId="50" xfId="0" applyFont="1" applyFill="1" applyBorder="1" applyAlignment="1">
      <alignment horizontal="center" vertical="center" wrapText="1"/>
    </xf>
    <xf numFmtId="0" fontId="20" fillId="10" borderId="50" xfId="0" applyFont="1" applyFill="1" applyBorder="1" applyAlignment="1">
      <alignment horizontal="left" vertical="center" wrapText="1"/>
    </xf>
    <xf numFmtId="0" fontId="20" fillId="10" borderId="50" xfId="0" applyFont="1" applyFill="1" applyBorder="1" applyAlignment="1">
      <alignment vertical="center"/>
    </xf>
    <xf numFmtId="0" fontId="0" fillId="14" borderId="0" xfId="0" applyFill="1" applyAlignment="1">
      <alignment horizontal="center" vertical="center" wrapText="1"/>
    </xf>
    <xf numFmtId="0" fontId="0" fillId="14" borderId="0" xfId="0" applyFill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0" fillId="15" borderId="0" xfId="0" applyFill="1"/>
    <xf numFmtId="14" fontId="0" fillId="15" borderId="0" xfId="0" applyNumberFormat="1" applyFill="1" applyAlignment="1">
      <alignment horizontal="center"/>
    </xf>
    <xf numFmtId="0" fontId="0" fillId="0" borderId="0" xfId="0" pivotButton="1"/>
    <xf numFmtId="0" fontId="0" fillId="16" borderId="17" xfId="0" applyFill="1" applyBorder="1" applyAlignment="1">
      <alignment horizontal="center" vertical="center"/>
    </xf>
    <xf numFmtId="166" fontId="17" fillId="16" borderId="37" xfId="0" applyNumberFormat="1" applyFont="1" applyFill="1" applyBorder="1" applyAlignment="1">
      <alignment horizontal="center" vertical="center"/>
    </xf>
    <xf numFmtId="165" fontId="0" fillId="16" borderId="17" xfId="0" applyNumberFormat="1" applyFill="1" applyBorder="1" applyAlignment="1">
      <alignment vertical="center"/>
    </xf>
    <xf numFmtId="0" fontId="21" fillId="17" borderId="97" xfId="0" applyFont="1" applyFill="1" applyBorder="1"/>
    <xf numFmtId="165" fontId="21" fillId="17" borderId="97" xfId="0" applyNumberFormat="1" applyFont="1" applyFill="1" applyBorder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17" borderId="98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49" fontId="0" fillId="15" borderId="0" xfId="0" applyNumberFormat="1" applyFill="1"/>
    <xf numFmtId="0" fontId="0" fillId="18" borderId="17" xfId="0" applyFill="1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4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1" fillId="4" borderId="54" xfId="0" applyFont="1" applyFill="1" applyBorder="1" applyAlignment="1">
      <alignment horizontal="center" vertical="center" wrapText="1"/>
    </xf>
    <xf numFmtId="0" fontId="1" fillId="4" borderId="55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horizontal="center" vertical="center" wrapText="1"/>
    </xf>
    <xf numFmtId="0" fontId="1" fillId="4" borderId="58" xfId="0" applyFont="1" applyFill="1" applyBorder="1" applyAlignment="1">
      <alignment horizontal="center" vertical="center" wrapText="1"/>
    </xf>
    <xf numFmtId="0" fontId="1" fillId="0" borderId="70" xfId="0" applyFont="1" applyBorder="1" applyAlignment="1">
      <alignment horizontal="left" vertical="center" wrapText="1" indent="1"/>
    </xf>
    <xf numFmtId="0" fontId="1" fillId="4" borderId="74" xfId="0" applyFont="1" applyFill="1" applyBorder="1" applyAlignment="1">
      <alignment horizontal="center" vertical="center"/>
    </xf>
    <xf numFmtId="0" fontId="1" fillId="5" borderId="71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0" borderId="18" xfId="0" applyFont="1" applyBorder="1" applyAlignment="1">
      <alignment vertical="center" wrapText="1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left" vertical="center" wrapText="1"/>
    </xf>
    <xf numFmtId="0" fontId="1" fillId="0" borderId="41" xfId="0" applyFont="1" applyBorder="1" applyAlignment="1">
      <alignment vertical="center" wrapText="1"/>
    </xf>
    <xf numFmtId="0" fontId="1" fillId="0" borderId="19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left" vertical="center"/>
    </xf>
    <xf numFmtId="0" fontId="1" fillId="0" borderId="15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72" xfId="0" applyFont="1" applyBorder="1" applyAlignment="1">
      <alignment horizontal="left" vertical="center" wrapText="1" indent="1"/>
    </xf>
    <xf numFmtId="0" fontId="1" fillId="4" borderId="77" xfId="0" applyFont="1" applyFill="1" applyBorder="1" applyAlignment="1">
      <alignment horizontal="center" vertical="center"/>
    </xf>
    <xf numFmtId="0" fontId="1" fillId="5" borderId="73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left" vertical="center" wrapText="1"/>
    </xf>
    <xf numFmtId="0" fontId="1" fillId="0" borderId="42" xfId="0" applyFont="1" applyBorder="1" applyAlignment="1">
      <alignment vertical="center" wrapText="1"/>
    </xf>
    <xf numFmtId="0" fontId="1" fillId="0" borderId="17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/>
    </xf>
    <xf numFmtId="0" fontId="1" fillId="0" borderId="75" xfId="0" applyFont="1" applyBorder="1" applyAlignment="1">
      <alignment horizontal="left" vertical="center" wrapText="1" indent="1"/>
    </xf>
    <xf numFmtId="0" fontId="1" fillId="4" borderId="50" xfId="0" applyFont="1" applyFill="1" applyBorder="1" applyAlignment="1">
      <alignment horizontal="center" vertical="center"/>
    </xf>
    <xf numFmtId="0" fontId="1" fillId="5" borderId="7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52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/>
    </xf>
    <xf numFmtId="0" fontId="1" fillId="11" borderId="68" xfId="0" applyFont="1" applyFill="1" applyBorder="1" applyAlignment="1">
      <alignment horizontal="left" vertical="center" wrapText="1" indent="1"/>
    </xf>
    <xf numFmtId="0" fontId="1" fillId="4" borderId="83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left" vertical="center" wrapText="1"/>
    </xf>
    <xf numFmtId="0" fontId="1" fillId="5" borderId="53" xfId="0" applyFont="1" applyFill="1" applyBorder="1" applyAlignment="1">
      <alignment horizontal="left" vertical="center"/>
    </xf>
    <xf numFmtId="0" fontId="1" fillId="11" borderId="62" xfId="0" applyFont="1" applyFill="1" applyBorder="1" applyAlignment="1">
      <alignment horizontal="left" vertical="center" wrapText="1" indent="1"/>
    </xf>
    <xf numFmtId="0" fontId="1" fillId="4" borderId="85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left"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5" borderId="66" xfId="0" applyFont="1" applyFill="1" applyBorder="1" applyAlignment="1">
      <alignment vertical="center"/>
    </xf>
    <xf numFmtId="0" fontId="1" fillId="5" borderId="67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80" xfId="0" applyFont="1" applyBorder="1"/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8" borderId="0" xfId="0" applyFont="1" applyFill="1"/>
    <xf numFmtId="0" fontId="1" fillId="0" borderId="0" xfId="0" applyFont="1" applyAlignment="1">
      <alignment horizontal="left" vertical="top" wrapText="1"/>
    </xf>
    <xf numFmtId="0" fontId="1" fillId="9" borderId="0" xfId="0" applyFont="1" applyFill="1"/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left" vertical="center" wrapText="1" indent="1"/>
    </xf>
    <xf numFmtId="0" fontId="1" fillId="10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 indent="1"/>
    </xf>
    <xf numFmtId="0" fontId="1" fillId="10" borderId="1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left" vertical="center"/>
    </xf>
    <xf numFmtId="0" fontId="1" fillId="5" borderId="50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left" vertical="center"/>
    </xf>
    <xf numFmtId="0" fontId="1" fillId="0" borderId="96" xfId="0" applyFont="1" applyBorder="1" applyAlignment="1">
      <alignment horizontal="left" vertical="center"/>
    </xf>
    <xf numFmtId="0" fontId="1" fillId="4" borderId="77" xfId="0" applyFont="1" applyFill="1" applyBorder="1" applyAlignment="1">
      <alignment horizontal="center" vertical="center" wrapText="1"/>
    </xf>
    <xf numFmtId="0" fontId="1" fillId="5" borderId="73" xfId="0" applyFont="1" applyFill="1" applyBorder="1" applyAlignment="1">
      <alignment vertical="top" wrapText="1"/>
    </xf>
    <xf numFmtId="0" fontId="1" fillId="5" borderId="84" xfId="0" applyFont="1" applyFill="1" applyBorder="1" applyAlignment="1">
      <alignment vertical="top" wrapText="1"/>
    </xf>
    <xf numFmtId="0" fontId="1" fillId="0" borderId="87" xfId="0" applyFont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top" wrapText="1"/>
    </xf>
    <xf numFmtId="0" fontId="10" fillId="6" borderId="26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2" fillId="0" borderId="88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12" fillId="0" borderId="8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01" xfId="0" applyFont="1" applyBorder="1" applyAlignment="1">
      <alignment horizontal="center" vertical="center"/>
    </xf>
    <xf numFmtId="0" fontId="6" fillId="7" borderId="50" xfId="0" applyFont="1" applyFill="1" applyBorder="1" applyAlignment="1">
      <alignment horizontal="center" vertical="center" wrapText="1"/>
    </xf>
    <xf numFmtId="0" fontId="7" fillId="6" borderId="68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69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6" fillId="7" borderId="92" xfId="0" applyFont="1" applyFill="1" applyBorder="1" applyAlignment="1">
      <alignment horizontal="center" vertical="center" wrapText="1"/>
    </xf>
    <xf numFmtId="0" fontId="6" fillId="7" borderId="93" xfId="0" applyFont="1" applyFill="1" applyBorder="1" applyAlignment="1">
      <alignment horizontal="center" vertical="center" wrapText="1"/>
    </xf>
    <xf numFmtId="0" fontId="6" fillId="7" borderId="94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vertical="center" wrapText="1"/>
    </xf>
    <xf numFmtId="164" fontId="7" fillId="6" borderId="33" xfId="0" applyNumberFormat="1" applyFont="1" applyFill="1" applyBorder="1" applyAlignment="1">
      <alignment horizontal="center" vertical="center" wrapText="1"/>
    </xf>
    <xf numFmtId="164" fontId="7" fillId="6" borderId="34" xfId="0" applyNumberFormat="1" applyFont="1" applyFill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10" borderId="77" xfId="0" applyFont="1" applyFill="1" applyBorder="1" applyAlignment="1">
      <alignment horizontal="center" vertical="top" wrapText="1"/>
    </xf>
    <xf numFmtId="0" fontId="1" fillId="10" borderId="99" xfId="0" applyFont="1" applyFill="1" applyBorder="1" applyAlignment="1">
      <alignment horizontal="center" vertical="top" wrapText="1"/>
    </xf>
    <xf numFmtId="0" fontId="1" fillId="10" borderId="100" xfId="0" applyFont="1" applyFill="1" applyBorder="1" applyAlignment="1">
      <alignment horizontal="center" vertical="top" wrapText="1"/>
    </xf>
    <xf numFmtId="0" fontId="9" fillId="3" borderId="79" xfId="0" applyFont="1" applyFill="1" applyBorder="1" applyAlignment="1">
      <alignment horizontal="center" vertical="center" wrapText="1"/>
    </xf>
    <xf numFmtId="0" fontId="9" fillId="3" borderId="80" xfId="0" applyFont="1" applyFill="1" applyBorder="1" applyAlignment="1">
      <alignment horizontal="center" vertical="center" wrapText="1"/>
    </xf>
    <xf numFmtId="2" fontId="13" fillId="2" borderId="80" xfId="0" applyNumberFormat="1" applyFont="1" applyFill="1" applyBorder="1" applyAlignment="1">
      <alignment horizontal="center" vertical="center"/>
    </xf>
    <xf numFmtId="2" fontId="13" fillId="2" borderId="81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 wrapText="1"/>
    </xf>
    <xf numFmtId="0" fontId="6" fillId="7" borderId="39" xfId="0" applyFont="1" applyFill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5" borderId="73" xfId="0" applyFont="1" applyFill="1" applyBorder="1" applyAlignment="1">
      <alignment horizontal="left" vertical="top" wrapText="1"/>
    </xf>
    <xf numFmtId="0" fontId="1" fillId="5" borderId="84" xfId="0" applyFont="1" applyFill="1" applyBorder="1" applyAlignment="1">
      <alignment horizontal="left" vertical="top" wrapText="1"/>
    </xf>
    <xf numFmtId="0" fontId="1" fillId="5" borderId="86" xfId="0" applyFont="1" applyFill="1" applyBorder="1" applyAlignment="1">
      <alignment horizontal="left" vertical="top" wrapText="1"/>
    </xf>
    <xf numFmtId="0" fontId="6" fillId="3" borderId="62" xfId="0" applyFont="1" applyFill="1" applyBorder="1" applyAlignment="1">
      <alignment horizontal="center" vertical="center" wrapText="1"/>
    </xf>
    <xf numFmtId="0" fontId="6" fillId="3" borderId="78" xfId="0" applyFont="1" applyFill="1" applyBorder="1" applyAlignment="1">
      <alignment horizontal="center" vertical="center" wrapText="1"/>
    </xf>
    <xf numFmtId="0" fontId="7" fillId="6" borderId="59" xfId="0" applyFont="1" applyFill="1" applyBorder="1" applyAlignment="1">
      <alignment horizontal="center" vertical="center"/>
    </xf>
    <xf numFmtId="0" fontId="7" fillId="6" borderId="60" xfId="0" applyFont="1" applyFill="1" applyBorder="1" applyAlignment="1">
      <alignment horizontal="center" vertical="center"/>
    </xf>
    <xf numFmtId="0" fontId="7" fillId="6" borderId="61" xfId="0" applyFont="1" applyFill="1" applyBorder="1" applyAlignment="1">
      <alignment horizontal="center" vertical="center"/>
    </xf>
    <xf numFmtId="0" fontId="9" fillId="3" borderId="59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2" fontId="13" fillId="2" borderId="62" xfId="0" applyNumberFormat="1" applyFont="1" applyFill="1" applyBorder="1" applyAlignment="1">
      <alignment horizontal="center" vertical="center"/>
    </xf>
    <xf numFmtId="2" fontId="13" fillId="2" borderId="63" xfId="0" applyNumberFormat="1" applyFont="1" applyFill="1" applyBorder="1" applyAlignment="1">
      <alignment horizontal="center" vertical="center"/>
    </xf>
    <xf numFmtId="2" fontId="13" fillId="2" borderId="64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9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249977111117893"/>
      </font>
      <fill>
        <patternFill patternType="solid">
          <bgColor theme="9" tint="0.79998168889431442"/>
        </patternFill>
      </fill>
    </dxf>
    <dxf>
      <font>
        <color theme="8" tint="-0.249977111117893"/>
      </font>
      <fill>
        <patternFill patternType="solid">
          <bgColor theme="8" tint="0.79998168889431442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alignment vertical="center" wrapText="1"/>
    </dxf>
  </dxfs>
  <tableStyles count="0" defaultTableStyle="TableStyleMedium2" defaultPivotStyle="PivotStyleLight16"/>
  <colors>
    <mruColors>
      <color rgb="FFFF4500"/>
      <color rgb="FF0424B3"/>
      <color rgb="FFCC3600"/>
      <color rgb="FF0026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665786458332" createdVersion="8" refreshedVersion="8" minRefreshableVersion="3" recordCount="45" xr:uid="{41C15395-E767-4928-8F80-64D40AD8C9ED}">
  <cacheSource type="worksheet">
    <worksheetSource ref="A1:D1048576" sheet="Histórico das Provas"/>
  </cacheSource>
  <cacheFields count="4">
    <cacheField name="Colaborador" numFmtId="0">
      <sharedItems containsBlank="1" count="20">
        <s v="Gabriel Nascimento Menezes"/>
        <s v="Adriano Silva De Araujo"/>
        <s v="Douglas Ferreira dos Reis"/>
        <s v="Erick Ramos da Silva"/>
        <s v="José Renato Albuquerque de Sousa"/>
        <s v="Alonso Lucas Trindade"/>
        <s v="Vinicius da Silva"/>
        <s v="João Marcos Nascimento Leite"/>
        <s v="Cauê Souza Lima"/>
        <s v="Iago Dias Temoteo"/>
        <s v="Matheus da Silva Cordeiro"/>
        <s v="Ernande Liniki Andrade Alves da Silva"/>
        <s v="Jamerson Rodrigues"/>
        <s v="Willians Silva de Jesus"/>
        <s v="Kaio Gabriel Ferreira Barbosa"/>
        <s v="Bruno da Silva Cordeiro"/>
        <s v="Everton De Jesus Marinho Santos"/>
        <s v="Ulisses Damazio Fernandes"/>
        <s v="Lyrick Andrade Alves da Silva"/>
        <m/>
      </sharedItems>
    </cacheField>
    <cacheField name="Nota" numFmtId="0">
      <sharedItems containsString="0" containsBlank="1" containsNumber="1" containsInteger="1" minValue="71" maxValue="86" count="10">
        <n v="85"/>
        <n v="76"/>
        <n v="78"/>
        <n v="71"/>
        <n v="77"/>
        <n v="83"/>
        <n v="82"/>
        <n v="86"/>
        <n v="79"/>
        <m/>
      </sharedItems>
    </cacheField>
    <cacheField name="Eventos" numFmtId="0">
      <sharedItems containsBlank="1" count="20">
        <s v="URBAN WALK - SÃO PAULO"/>
        <s v="COPA SABESP - SP"/>
        <s v="BLUE RUN - PIRACICABA"/>
        <s v="ECO RUN - SÃO PAULO"/>
        <s v="DESAFIO ENERGIA PETROBRÁS - CORRIDA - RJ"/>
        <s v="CORRIDA VALE - VITÓRIA"/>
        <s v="42K DE FLORIPA"/>
        <s v="GIRL POWER - BELO HORIZONTE"/>
        <s v="CIRCUITO S RUN - SOROCABA"/>
        <s v="CIRCUITO DE CORRIDAS VALE - SÃO LUÍS"/>
        <s v="35º TROFÉU BRASIL DE TRIATHLON - ETAPA 2"/>
        <s v="C.E. INVERNO- MANAUS"/>
        <s v="C.E. INVERNO - PORTO ALEGRE"/>
        <s v="DESAFIO ENERGIA PETROBRÁS - PASSEIO BIKE - SP"/>
        <s v="C.E. INVERNO - FORTALEZA"/>
        <s v="SÓ QUERO PEDALAR - RECIFE"/>
        <s v="C.E. INVERNO - SÃO JOSÉ DOS CAMPOS"/>
        <s v="SMART FIT - RIO DE JANEIRO"/>
        <s v="NIGHT RUN - ETAPA 1 - MARINGÁ"/>
        <m/>
      </sharedItems>
    </cacheField>
    <cacheField name="Data" numFmtId="0">
      <sharedItems containsNonDate="0" containsDate="1" containsString="0" containsBlank="1" minDate="2026-06-07T00:00:00" maxDate="2026-06-22T00:00:00" count="4">
        <d v="2026-06-14T00:00:00"/>
        <d v="2026-06-07T00:00:00"/>
        <d v="2026-06-2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x v="0"/>
  </r>
  <r>
    <x v="1"/>
    <x v="0"/>
    <x v="0"/>
    <x v="0"/>
  </r>
  <r>
    <x v="2"/>
    <x v="0"/>
    <x v="0"/>
    <x v="0"/>
  </r>
  <r>
    <x v="3"/>
    <x v="0"/>
    <x v="0"/>
    <x v="0"/>
  </r>
  <r>
    <x v="4"/>
    <x v="1"/>
    <x v="1"/>
    <x v="0"/>
  </r>
  <r>
    <x v="5"/>
    <x v="2"/>
    <x v="2"/>
    <x v="0"/>
  </r>
  <r>
    <x v="4"/>
    <x v="2"/>
    <x v="2"/>
    <x v="0"/>
  </r>
  <r>
    <x v="6"/>
    <x v="2"/>
    <x v="2"/>
    <x v="0"/>
  </r>
  <r>
    <x v="7"/>
    <x v="2"/>
    <x v="2"/>
    <x v="0"/>
  </r>
  <r>
    <x v="8"/>
    <x v="2"/>
    <x v="2"/>
    <x v="0"/>
  </r>
  <r>
    <x v="9"/>
    <x v="3"/>
    <x v="3"/>
    <x v="0"/>
  </r>
  <r>
    <x v="10"/>
    <x v="3"/>
    <x v="3"/>
    <x v="0"/>
  </r>
  <r>
    <x v="11"/>
    <x v="3"/>
    <x v="3"/>
    <x v="0"/>
  </r>
  <r>
    <x v="12"/>
    <x v="3"/>
    <x v="3"/>
    <x v="0"/>
  </r>
  <r>
    <x v="13"/>
    <x v="4"/>
    <x v="4"/>
    <x v="0"/>
  </r>
  <r>
    <x v="14"/>
    <x v="4"/>
    <x v="4"/>
    <x v="0"/>
  </r>
  <r>
    <x v="15"/>
    <x v="5"/>
    <x v="5"/>
    <x v="0"/>
  </r>
  <r>
    <x v="16"/>
    <x v="5"/>
    <x v="5"/>
    <x v="0"/>
  </r>
  <r>
    <x v="17"/>
    <x v="5"/>
    <x v="5"/>
    <x v="0"/>
  </r>
  <r>
    <x v="18"/>
    <x v="5"/>
    <x v="5"/>
    <x v="0"/>
  </r>
  <r>
    <x v="14"/>
    <x v="6"/>
    <x v="6"/>
    <x v="1"/>
  </r>
  <r>
    <x v="12"/>
    <x v="6"/>
    <x v="6"/>
    <x v="1"/>
  </r>
  <r>
    <x v="8"/>
    <x v="6"/>
    <x v="6"/>
    <x v="1"/>
  </r>
  <r>
    <x v="2"/>
    <x v="6"/>
    <x v="6"/>
    <x v="1"/>
  </r>
  <r>
    <x v="3"/>
    <x v="7"/>
    <x v="7"/>
    <x v="1"/>
  </r>
  <r>
    <x v="13"/>
    <x v="7"/>
    <x v="7"/>
    <x v="1"/>
  </r>
  <r>
    <x v="7"/>
    <x v="7"/>
    <x v="7"/>
    <x v="1"/>
  </r>
  <r>
    <x v="18"/>
    <x v="7"/>
    <x v="7"/>
    <x v="1"/>
  </r>
  <r>
    <x v="9"/>
    <x v="8"/>
    <x v="8"/>
    <x v="1"/>
  </r>
  <r>
    <x v="16"/>
    <x v="8"/>
    <x v="8"/>
    <x v="1"/>
  </r>
  <r>
    <x v="10"/>
    <x v="8"/>
    <x v="8"/>
    <x v="1"/>
  </r>
  <r>
    <x v="6"/>
    <x v="8"/>
    <x v="8"/>
    <x v="1"/>
  </r>
  <r>
    <x v="17"/>
    <x v="8"/>
    <x v="8"/>
    <x v="1"/>
  </r>
  <r>
    <x v="19"/>
    <x v="9"/>
    <x v="9"/>
    <x v="2"/>
  </r>
  <r>
    <x v="19"/>
    <x v="9"/>
    <x v="10"/>
    <x v="2"/>
  </r>
  <r>
    <x v="19"/>
    <x v="9"/>
    <x v="11"/>
    <x v="2"/>
  </r>
  <r>
    <x v="19"/>
    <x v="9"/>
    <x v="12"/>
    <x v="2"/>
  </r>
  <r>
    <x v="19"/>
    <x v="9"/>
    <x v="13"/>
    <x v="2"/>
  </r>
  <r>
    <x v="19"/>
    <x v="9"/>
    <x v="14"/>
    <x v="2"/>
  </r>
  <r>
    <x v="19"/>
    <x v="9"/>
    <x v="15"/>
    <x v="2"/>
  </r>
  <r>
    <x v="19"/>
    <x v="9"/>
    <x v="1"/>
    <x v="2"/>
  </r>
  <r>
    <x v="19"/>
    <x v="9"/>
    <x v="16"/>
    <x v="2"/>
  </r>
  <r>
    <x v="19"/>
    <x v="9"/>
    <x v="17"/>
    <x v="2"/>
  </r>
  <r>
    <x v="19"/>
    <x v="9"/>
    <x v="18"/>
    <x v="2"/>
  </r>
  <r>
    <x v="19"/>
    <x v="9"/>
    <x v="1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80814-80AC-4C99-9183-9F0157C10BA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24" firstHeaderRow="0" firstDataRow="1" firstDataCol="1" rowPageCount="2" colPageCount="1"/>
  <pivotFields count="4">
    <pivotField axis="axisRow" compact="0" outline="0" showAll="0">
      <items count="21">
        <item x="1"/>
        <item x="5"/>
        <item x="15"/>
        <item x="8"/>
        <item x="2"/>
        <item x="3"/>
        <item x="11"/>
        <item x="16"/>
        <item x="0"/>
        <item x="9"/>
        <item x="12"/>
        <item x="7"/>
        <item x="4"/>
        <item x="14"/>
        <item x="18"/>
        <item x="10"/>
        <item x="17"/>
        <item x="6"/>
        <item x="13"/>
        <item h="1" x="19"/>
        <item t="default"/>
      </items>
    </pivotField>
    <pivotField dataField="1" compact="0" outline="0" showAll="0">
      <items count="11">
        <item x="3"/>
        <item x="1"/>
        <item x="4"/>
        <item x="2"/>
        <item x="8"/>
        <item x="6"/>
        <item x="5"/>
        <item x="0"/>
        <item x="7"/>
        <item x="9"/>
        <item t="default"/>
      </items>
    </pivotField>
    <pivotField axis="axisPage" dataField="1" compact="0" outline="0" showAll="0">
      <items count="21">
        <item x="10"/>
        <item x="6"/>
        <item x="2"/>
        <item x="14"/>
        <item x="12"/>
        <item x="16"/>
        <item x="11"/>
        <item x="9"/>
        <item x="8"/>
        <item x="1"/>
        <item x="5"/>
        <item x="4"/>
        <item x="13"/>
        <item x="3"/>
        <item x="7"/>
        <item x="18"/>
        <item x="17"/>
        <item x="15"/>
        <item x="0"/>
        <item x="19"/>
        <item t="default"/>
      </items>
    </pivotField>
    <pivotField axis="axisPage" compact="0" outline="0" showAll="0">
      <items count="5">
        <item x="1"/>
        <item x="0"/>
        <item x="2"/>
        <item x="3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2" hier="-1"/>
  </pageFields>
  <dataFields count="2">
    <dataField name="Soma de Nota" fld="1" baseField="0" baseItem="0"/>
    <dataField name="Contagem de Eventos" fld="2" subtotal="count" baseField="0" baseItem="0"/>
  </dataFields>
  <formats count="9">
    <format dxfId="60">
      <pivotArea field="0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field="0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field="0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">
      <pivotArea outline="0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53">
      <pivotArea outline="0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52">
      <pivotArea grandRow="1"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F77" totalsRowShown="0" headerRowDxfId="91">
  <autoFilter ref="A1:AF77" xr:uid="{00000000-0009-0000-0100-000001000000}"/>
  <tableColumns count="32">
    <tableColumn id="1" xr3:uid="{00000000-0010-0000-0000-000001000000}" name="Id" dataDxfId="9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8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8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eu nome" dataDxfId="87">
      <extLst>
        <ext xmlns:xlmsforms="http://schemas.microsoft.com/office/spreadsheetml/2023/msForms" uri="{FCC71383-01E1-4257-9335-427F07BE8D7F}">
          <xlmsforms:question id="r644d30f70a10460f8a0b5c024ce21805"/>
        </ext>
      </extLst>
    </tableColumn>
    <tableColumn id="7" xr3:uid="{00000000-0010-0000-0000-000007000000}" name="Evento que está avaliando, cidade e data" dataDxfId="86">
      <extLst>
        <ext xmlns:xlmsforms="http://schemas.microsoft.com/office/spreadsheetml/2023/msForms" uri="{FCC71383-01E1-4257-9335-427F07BE8D7F}">
          <xlmsforms:question id="r87d51a4470854026aa5ddfc65665c0f7"/>
        </ext>
      </extLst>
    </tableColumn>
    <tableColumn id="8" xr3:uid="{00000000-0010-0000-0000-000008000000}" name="Selecione a área que você faz parte" dataDxfId="85">
      <extLst>
        <ext xmlns:xlmsforms="http://schemas.microsoft.com/office/spreadsheetml/2023/msForms" uri="{FCC71383-01E1-4257-9335-427F07BE8D7F}">
          <xlmsforms:question id="r4503f57f954f4be28ee2c7da7bf29fe8"/>
        </ext>
      </extLst>
    </tableColumn>
    <tableColumn id="9" xr3:uid="{00000000-0010-0000-0000-000009000000}" name="Perda de material/estrutura" dataDxfId="84">
      <extLst>
        <ext xmlns:xlmsforms="http://schemas.microsoft.com/office/spreadsheetml/2023/msForms" uri="{FCC71383-01E1-4257-9335-427F07BE8D7F}">
          <xlmsforms:question id="r241d2a56eeea4da9a478b1ed982a4fb3"/>
        </ext>
      </extLst>
    </tableColumn>
    <tableColumn id="10" xr3:uid="{00000000-0010-0000-0000-00000A000000}" name="Comentários ou Justificativa" dataDxfId="83">
      <extLst>
        <ext xmlns:xlmsforms="http://schemas.microsoft.com/office/spreadsheetml/2023/msForms" uri="{FCC71383-01E1-4257-9335-427F07BE8D7F}">
          <xlmsforms:question id="r0fe168500466453490ddd7b4f302c775"/>
        </ext>
      </extLst>
    </tableColumn>
    <tableColumn id="11" xr3:uid="{00000000-0010-0000-0000-00000B000000}" name="Logística Reversa" dataDxfId="82">
      <extLst>
        <ext xmlns:xlmsforms="http://schemas.microsoft.com/office/spreadsheetml/2023/msForms" uri="{FCC71383-01E1-4257-9335-427F07BE8D7F}">
          <xlmsforms:question id="r3bb4791101a749be84e5617ff1d05f79"/>
        </ext>
      </extLst>
    </tableColumn>
    <tableColumn id="12" xr3:uid="{00000000-0010-0000-0000-00000C000000}" name="Comentários ou Justificativa1" dataDxfId="81">
      <extLst>
        <ext xmlns:xlmsforms="http://schemas.microsoft.com/office/spreadsheetml/2023/msForms" uri="{FCC71383-01E1-4257-9335-427F07BE8D7F}">
          <xlmsforms:question id="r6dadd82b315e4489bd37996871f5ca23"/>
        </ext>
      </extLst>
    </tableColumn>
    <tableColumn id="13" xr3:uid="{00000000-0010-0000-0000-00000D000000}" name="Qualidade da Entrega" dataDxfId="80">
      <extLst>
        <ext xmlns:xlmsforms="http://schemas.microsoft.com/office/spreadsheetml/2023/msForms" uri="{FCC71383-01E1-4257-9335-427F07BE8D7F}">
          <xlmsforms:question id="ra4dc3536eebd467d896db79c8ac832d3"/>
        </ext>
      </extLst>
    </tableColumn>
    <tableColumn id="14" xr3:uid="{00000000-0010-0000-0000-00000E000000}" name="Comentários ou Justificativa2" dataDxfId="79">
      <extLst>
        <ext xmlns:xlmsforms="http://schemas.microsoft.com/office/spreadsheetml/2023/msForms" uri="{FCC71383-01E1-4257-9335-427F07BE8D7F}">
          <xlmsforms:question id="r63fdf489963a4e7cae989841a80cfc6b"/>
        </ext>
      </extLst>
    </tableColumn>
    <tableColumn id="15" xr3:uid="{00000000-0010-0000-0000-00000F000000}" name="Qualidade da Entrega (2)" dataDxfId="78">
      <extLst>
        <ext xmlns:xlmsforms="http://schemas.microsoft.com/office/spreadsheetml/2023/msForms" uri="{FCC71383-01E1-4257-9335-427F07BE8D7F}">
          <xlmsforms:question id="r88c98e97ed5d4b25a5a38025fbc2486e"/>
        </ext>
      </extLst>
    </tableColumn>
    <tableColumn id="16" xr3:uid="{00000000-0010-0000-0000-000010000000}" name="Comentários ou Justificativa3" dataDxfId="77">
      <extLst>
        <ext xmlns:xlmsforms="http://schemas.microsoft.com/office/spreadsheetml/2023/msForms" uri="{FCC71383-01E1-4257-9335-427F07BE8D7F}">
          <xlmsforms:question id="rd10a5ec428544eb4b206bbceb73f3199"/>
        </ext>
      </extLst>
    </tableColumn>
    <tableColumn id="17" xr3:uid="{00000000-0010-0000-0000-000011000000}" name="Prazo de entrega" dataDxfId="76">
      <extLst>
        <ext xmlns:xlmsforms="http://schemas.microsoft.com/office/spreadsheetml/2023/msForms" uri="{FCC71383-01E1-4257-9335-427F07BE8D7F}">
          <xlmsforms:question id="r2a900ea2c0f24cdda56d273c9c04bf01"/>
        </ext>
      </extLst>
    </tableColumn>
    <tableColumn id="18" xr3:uid="{00000000-0010-0000-0000-000012000000}" name="Comentários ou Justificativa4" dataDxfId="75">
      <extLst>
        <ext xmlns:xlmsforms="http://schemas.microsoft.com/office/spreadsheetml/2023/msForms" uri="{FCC71383-01E1-4257-9335-427F07BE8D7F}">
          <xlmsforms:question id="r7e96edfd48ac458b932bb1e5e41df42e"/>
        </ext>
      </extLst>
    </tableColumn>
    <tableColumn id="19" xr3:uid="{00000000-0010-0000-0000-000013000000}" name="Todos os equipamentos e ferramentas retornaram?" dataDxfId="74">
      <extLst>
        <ext xmlns:xlmsforms="http://schemas.microsoft.com/office/spreadsheetml/2023/msForms" uri="{FCC71383-01E1-4257-9335-427F07BE8D7F}">
          <xlmsforms:question id="rb3ebb2cc369a4442b6853ecd052a0461"/>
        </ext>
      </extLst>
    </tableColumn>
    <tableColumn id="20" xr3:uid="{00000000-0010-0000-0000-000014000000}" name="Comentários ou Justificativa5" dataDxfId="73">
      <extLst>
        <ext xmlns:xlmsforms="http://schemas.microsoft.com/office/spreadsheetml/2023/msForms" uri="{FCC71383-01E1-4257-9335-427F07BE8D7F}">
          <xlmsforms:question id="r4d0d143ab08145f899d5d5d82526200a"/>
        </ext>
      </extLst>
    </tableColumn>
    <tableColumn id="21" xr3:uid="{00000000-0010-0000-0000-000015000000}" name="Carga na saída do galpão" dataDxfId="72">
      <extLst>
        <ext xmlns:xlmsforms="http://schemas.microsoft.com/office/spreadsheetml/2023/msForms" uri="{FCC71383-01E1-4257-9335-427F07BE8D7F}">
          <xlmsforms:question id="r170ff0df70cc479c88458ef1fa73a54c"/>
        </ext>
      </extLst>
    </tableColumn>
    <tableColumn id="22" xr3:uid="{00000000-0010-0000-0000-000016000000}" name="Comentários ou Justificativa6" dataDxfId="71">
      <extLst>
        <ext xmlns:xlmsforms="http://schemas.microsoft.com/office/spreadsheetml/2023/msForms" uri="{FCC71383-01E1-4257-9335-427F07BE8D7F}">
          <xlmsforms:question id="ra37da814d39c431abd6cde8b2194a377"/>
        </ext>
      </extLst>
    </tableColumn>
    <tableColumn id="23" xr3:uid="{00000000-0010-0000-0000-000017000000}" name="Todos usaram EPI na arena?" dataDxfId="70">
      <extLst>
        <ext xmlns:xlmsforms="http://schemas.microsoft.com/office/spreadsheetml/2023/msForms" uri="{FCC71383-01E1-4257-9335-427F07BE8D7F}">
          <xlmsforms:question id="r65cd8c3eb76c4887a60fe4164c921f5e"/>
        </ext>
      </extLst>
    </tableColumn>
    <tableColumn id="24" xr3:uid="{00000000-0010-0000-0000-000018000000}" name="Comentários ou Justificativa7" dataDxfId="69">
      <extLst>
        <ext xmlns:xlmsforms="http://schemas.microsoft.com/office/spreadsheetml/2023/msForms" uri="{FCC71383-01E1-4257-9335-427F07BE8D7F}">
          <xlmsforms:question id="r466099cdf9964829a9d8de665ba91273"/>
        </ext>
      </extLst>
    </tableColumn>
    <tableColumn id="25" xr3:uid="{00000000-0010-0000-0000-000019000000}" name="Estaiamento e Aterramento foram feitos de maneira correta?" dataDxfId="68">
      <extLst>
        <ext xmlns:xlmsforms="http://schemas.microsoft.com/office/spreadsheetml/2023/msForms" uri="{FCC71383-01E1-4257-9335-427F07BE8D7F}">
          <xlmsforms:question id="r9b59864269114561aff2234b457923ed"/>
        </ext>
      </extLst>
    </tableColumn>
    <tableColumn id="26" xr3:uid="{00000000-0010-0000-0000-00001A000000}" name="Comentários ou Justificativa8" dataDxfId="67">
      <extLst>
        <ext xmlns:xlmsforms="http://schemas.microsoft.com/office/spreadsheetml/2023/msForms" uri="{FCC71383-01E1-4257-9335-427F07BE8D7F}">
          <xlmsforms:question id="rcc890db5a79e44799dc52f9dbe915170"/>
        </ext>
      </extLst>
    </tableColumn>
    <tableColumn id="27" xr3:uid="{00000000-0010-0000-0000-00001B000000}" name="Conduta e comportamento foram adequados?" dataDxfId="66">
      <extLst>
        <ext xmlns:xlmsforms="http://schemas.microsoft.com/office/spreadsheetml/2023/msForms" uri="{FCC71383-01E1-4257-9335-427F07BE8D7F}">
          <xlmsforms:question id="r401890dddf174cee9cbd4728b1988e7a"/>
        </ext>
      </extLst>
    </tableColumn>
    <tableColumn id="28" xr3:uid="{00000000-0010-0000-0000-00001C000000}" name="Comentários ou Justificativa9" dataDxfId="65">
      <extLst>
        <ext xmlns:xlmsforms="http://schemas.microsoft.com/office/spreadsheetml/2023/msForms" uri="{FCC71383-01E1-4257-9335-427F07BE8D7F}">
          <xlmsforms:question id="rbd4712496ff5493a920167f23d908768"/>
        </ext>
      </extLst>
    </tableColumn>
    <tableColumn id="29" xr3:uid="{00000000-0010-0000-0000-00001D000000}" name="Alguém faltou ou atrasou por mais de 30 minutos? Especifique." dataDxfId="64">
      <extLst>
        <ext xmlns:xlmsforms="http://schemas.microsoft.com/office/spreadsheetml/2023/msForms" uri="{FCC71383-01E1-4257-9335-427F07BE8D7F}">
          <xlmsforms:question id="rffc2d0f4a02847fe91d68c22d47c99e3"/>
        </ext>
      </extLst>
    </tableColumn>
    <tableColumn id="30" xr3:uid="{00000000-0010-0000-0000-00001E000000}" name="Algum profissional teve um desempenho fora da curva, se destacando dos demais pela eficiência ou proatividade?" dataDxfId="63">
      <extLst>
        <ext xmlns:xlmsforms="http://schemas.microsoft.com/office/spreadsheetml/2023/msForms" uri="{FCC71383-01E1-4257-9335-427F07BE8D7F}">
          <xlmsforms:question id="rabf4e313a1f6483ebe2bc463daaf2e95"/>
        </ext>
      </extLst>
    </tableColumn>
    <tableColumn id="31" xr3:uid="{00000000-0010-0000-0000-00001F000000}" name="Conte quem se destacou e o que foi feito." dataDxfId="62">
      <extLst>
        <ext xmlns:xlmsforms="http://schemas.microsoft.com/office/spreadsheetml/2023/msForms" uri="{FCC71383-01E1-4257-9335-427F07BE8D7F}">
          <xlmsforms:question id="r7b6abbd00c1840c18a0ba208fbc4d0ef"/>
        </ext>
      </extLst>
    </tableColumn>
    <tableColumn id="33" xr3:uid="{F4E31B48-3ABD-4550-8684-5A7C7D1D2B08}" name="Classifique o nível do desempenho dessa pessoa" dataDxfId="61">
      <extLst>
        <ext xmlns:xlmsforms="http://schemas.microsoft.com/office/spreadsheetml/2023/msForms" uri="{FCC71383-01E1-4257-9335-427F07BE8D7F}">
          <xlmsforms:question id="rfb483fa790374916ad75f2e814334b9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fDVVNre2ke_OlWs0fzJaBkXLQprzWlBnBQDR0trVNJUNTdRU0FDNTBEQ1lMRktQMllGVjRJV1dPTS4u" isFormConnected="1" maxResponseId="84" latestEventMarker="10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r644d30f70a10460f8a0b5c024ce21805</xlmsforms:syncedQuestionId>
        <xlmsforms:syncedQuestionId>r87d51a4470854026aa5ddfc65665c0f7</xlmsforms:syncedQuestionId>
        <xlmsforms:syncedQuestionId>r4503f57f954f4be28ee2c7da7bf29fe8</xlmsforms:syncedQuestionId>
        <xlmsforms:syncedQuestionId>r241d2a56eeea4da9a478b1ed982a4fb3</xlmsforms:syncedQuestionId>
        <xlmsforms:syncedQuestionId>r0fe168500466453490ddd7b4f302c775</xlmsforms:syncedQuestionId>
        <xlmsforms:syncedQuestionId>r3bb4791101a749be84e5617ff1d05f79</xlmsforms:syncedQuestionId>
        <xlmsforms:syncedQuestionId>r6dadd82b315e4489bd37996871f5ca23</xlmsforms:syncedQuestionId>
        <xlmsforms:syncedQuestionId>ra4dc3536eebd467d896db79c8ac832d3</xlmsforms:syncedQuestionId>
        <xlmsforms:syncedQuestionId>r63fdf489963a4e7cae989841a80cfc6b</xlmsforms:syncedQuestionId>
        <xlmsforms:syncedQuestionId>r88c98e97ed5d4b25a5a38025fbc2486e</xlmsforms:syncedQuestionId>
        <xlmsforms:syncedQuestionId>rd10a5ec428544eb4b206bbceb73f3199</xlmsforms:syncedQuestionId>
        <xlmsforms:syncedQuestionId>r2a900ea2c0f24cdda56d273c9c04bf01</xlmsforms:syncedQuestionId>
        <xlmsforms:syncedQuestionId>r7e96edfd48ac458b932bb1e5e41df42e</xlmsforms:syncedQuestionId>
        <xlmsforms:syncedQuestionId>rb3ebb2cc369a4442b6853ecd052a0461</xlmsforms:syncedQuestionId>
        <xlmsforms:syncedQuestionId>r4d0d143ab08145f899d5d5d82526200a</xlmsforms:syncedQuestionId>
        <xlmsforms:syncedQuestionId>r170ff0df70cc479c88458ef1fa73a54c</xlmsforms:syncedQuestionId>
        <xlmsforms:syncedQuestionId>ra37da814d39c431abd6cde8b2194a377</xlmsforms:syncedQuestionId>
        <xlmsforms:syncedQuestionId>r65cd8c3eb76c4887a60fe4164c921f5e</xlmsforms:syncedQuestionId>
        <xlmsforms:syncedQuestionId>r466099cdf9964829a9d8de665ba91273</xlmsforms:syncedQuestionId>
        <xlmsforms:syncedQuestionId>r9b59864269114561aff2234b457923ed</xlmsforms:syncedQuestionId>
        <xlmsforms:syncedQuestionId>rcc890db5a79e44799dc52f9dbe915170</xlmsforms:syncedQuestionId>
        <xlmsforms:syncedQuestionId>r401890dddf174cee9cbd4728b1988e7a</xlmsforms:syncedQuestionId>
        <xlmsforms:syncedQuestionId>rbd4712496ff5493a920167f23d908768</xlmsforms:syncedQuestionId>
        <xlmsforms:syncedQuestionId>rffc2d0f4a02847fe91d68c22d47c99e3</xlmsforms:syncedQuestionId>
        <xlmsforms:syncedQuestionId>rabf4e313a1f6483ebe2bc463daaf2e95</xlmsforms:syncedQuestionId>
        <xlmsforms:syncedQuestionId>r7b6abbd00c1840c18a0ba208fbc4d0ef</xlmsforms:syncedQuestionId>
        <xlmsforms:syncedQuestionId>rfd579af9128043f3bd0443e83c37f2ae</xlmsforms:syncedQuestionId>
        <xlmsforms:syncedQuestionId>rfb483fa790374916ad75f2e814334b9d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D8CB-C352-4D4F-AB7C-43DBBE63785D}">
  <sheetPr>
    <tabColor theme="2"/>
  </sheetPr>
  <dimension ref="A1:B24"/>
  <sheetViews>
    <sheetView workbookViewId="0">
      <selection activeCell="G11" sqref="G11"/>
    </sheetView>
  </sheetViews>
  <sheetFormatPr defaultRowHeight="14.4" x14ac:dyDescent="0.3"/>
  <cols>
    <col min="1" max="1" width="36.5546875" customWidth="1"/>
    <col min="2" max="2" width="14.33203125" style="47" customWidth="1"/>
    <col min="3" max="3" width="14.44140625" bestFit="1" customWidth="1"/>
  </cols>
  <sheetData>
    <row r="1" spans="1:2" x14ac:dyDescent="0.3">
      <c r="A1" s="46" t="s">
        <v>0</v>
      </c>
      <c r="B1" s="46" t="s">
        <v>1</v>
      </c>
    </row>
    <row r="2" spans="1:2" x14ac:dyDescent="0.3">
      <c r="A2" t="s">
        <v>2</v>
      </c>
      <c r="B2" s="47" t="s">
        <v>3</v>
      </c>
    </row>
    <row r="3" spans="1:2" x14ac:dyDescent="0.3">
      <c r="A3" t="s">
        <v>4</v>
      </c>
      <c r="B3" s="47" t="s">
        <v>3</v>
      </c>
    </row>
    <row r="4" spans="1:2" x14ac:dyDescent="0.3">
      <c r="A4" t="s">
        <v>5</v>
      </c>
      <c r="B4" s="47" t="s">
        <v>3</v>
      </c>
    </row>
    <row r="5" spans="1:2" x14ac:dyDescent="0.3">
      <c r="A5" t="s">
        <v>6</v>
      </c>
      <c r="B5" s="47" t="s">
        <v>3</v>
      </c>
    </row>
    <row r="6" spans="1:2" x14ac:dyDescent="0.3">
      <c r="A6" t="s">
        <v>7</v>
      </c>
      <c r="B6" s="47" t="s">
        <v>3</v>
      </c>
    </row>
    <row r="7" spans="1:2" x14ac:dyDescent="0.3">
      <c r="A7" t="s">
        <v>8</v>
      </c>
      <c r="B7" s="47" t="s">
        <v>3</v>
      </c>
    </row>
    <row r="8" spans="1:2" x14ac:dyDescent="0.3">
      <c r="A8" t="s">
        <v>9</v>
      </c>
      <c r="B8" s="47" t="s">
        <v>3</v>
      </c>
    </row>
    <row r="9" spans="1:2" x14ac:dyDescent="0.3">
      <c r="A9" t="s">
        <v>10</v>
      </c>
      <c r="B9" s="47" t="s">
        <v>3</v>
      </c>
    </row>
    <row r="10" spans="1:2" x14ac:dyDescent="0.3">
      <c r="A10" t="s">
        <v>11</v>
      </c>
      <c r="B10" s="47" t="s">
        <v>3</v>
      </c>
    </row>
    <row r="11" spans="1:2" x14ac:dyDescent="0.3">
      <c r="A11" t="s">
        <v>12</v>
      </c>
      <c r="B11" s="47" t="s">
        <v>3</v>
      </c>
    </row>
    <row r="12" spans="1:2" x14ac:dyDescent="0.3">
      <c r="A12" t="s">
        <v>13</v>
      </c>
      <c r="B12" s="47" t="s">
        <v>3</v>
      </c>
    </row>
    <row r="13" spans="1:2" x14ac:dyDescent="0.3">
      <c r="A13" t="s">
        <v>14</v>
      </c>
      <c r="B13" s="47" t="s">
        <v>3</v>
      </c>
    </row>
    <row r="14" spans="1:2" x14ac:dyDescent="0.3">
      <c r="A14" t="s">
        <v>15</v>
      </c>
      <c r="B14" s="47" t="s">
        <v>3</v>
      </c>
    </row>
    <row r="15" spans="1:2" x14ac:dyDescent="0.3">
      <c r="A15" t="s">
        <v>16</v>
      </c>
      <c r="B15" s="47" t="s">
        <v>17</v>
      </c>
    </row>
    <row r="16" spans="1:2" x14ac:dyDescent="0.3">
      <c r="A16" t="s">
        <v>18</v>
      </c>
      <c r="B16" s="47" t="s">
        <v>17</v>
      </c>
    </row>
    <row r="17" spans="1:2" x14ac:dyDescent="0.3">
      <c r="A17" t="s">
        <v>19</v>
      </c>
      <c r="B17" s="47" t="s">
        <v>17</v>
      </c>
    </row>
    <row r="18" spans="1:2" x14ac:dyDescent="0.3">
      <c r="A18" t="s">
        <v>20</v>
      </c>
      <c r="B18" s="47" t="s">
        <v>17</v>
      </c>
    </row>
    <row r="19" spans="1:2" x14ac:dyDescent="0.3">
      <c r="A19" t="s">
        <v>21</v>
      </c>
      <c r="B19" s="47" t="s">
        <v>17</v>
      </c>
    </row>
    <row r="20" spans="1:2" x14ac:dyDescent="0.3">
      <c r="A20" t="s">
        <v>22</v>
      </c>
      <c r="B20" s="47" t="s">
        <v>17</v>
      </c>
    </row>
    <row r="21" spans="1:2" x14ac:dyDescent="0.3">
      <c r="A21" t="s">
        <v>23</v>
      </c>
      <c r="B21" s="47" t="s">
        <v>17</v>
      </c>
    </row>
    <row r="22" spans="1:2" x14ac:dyDescent="0.3">
      <c r="A22" t="s">
        <v>24</v>
      </c>
      <c r="B22" s="47" t="s">
        <v>17</v>
      </c>
    </row>
    <row r="23" spans="1:2" x14ac:dyDescent="0.3">
      <c r="A23" t="s">
        <v>25</v>
      </c>
      <c r="B23" s="47" t="s">
        <v>17</v>
      </c>
    </row>
    <row r="24" spans="1:2" x14ac:dyDescent="0.3">
      <c r="A24" t="s">
        <v>26</v>
      </c>
      <c r="B24" s="4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AF77"/>
  <sheetViews>
    <sheetView workbookViewId="0">
      <pane xSplit="7" topLeftCell="H1" activePane="topRight" state="frozen"/>
      <selection pane="topRight" activeCell="G32" sqref="G32"/>
    </sheetView>
  </sheetViews>
  <sheetFormatPr defaultColWidth="28.44140625" defaultRowHeight="14.4" x14ac:dyDescent="0.3"/>
  <cols>
    <col min="1" max="1" width="5.109375" bestFit="1" customWidth="1"/>
    <col min="2" max="2" width="17" hidden="1" customWidth="1"/>
    <col min="3" max="3" width="20" bestFit="1" customWidth="1"/>
    <col min="4" max="4" width="11.33203125" hidden="1" customWidth="1"/>
    <col min="5" max="5" width="17.33203125" hidden="1" customWidth="1"/>
    <col min="6" max="6" width="21.5546875" customWidth="1"/>
    <col min="8" max="8" width="30.33203125" customWidth="1"/>
    <col min="25" max="25" width="34.109375" customWidth="1"/>
    <col min="30" max="30" width="52.5546875" customWidth="1"/>
    <col min="32" max="32" width="19" customWidth="1"/>
  </cols>
  <sheetData>
    <row r="1" spans="1:32" s="2" customFormat="1" ht="43.2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</row>
    <row r="2" spans="1:32" x14ac:dyDescent="0.3">
      <c r="A2">
        <v>9</v>
      </c>
      <c r="B2" s="1">
        <v>46197.498217592598</v>
      </c>
      <c r="C2" s="1">
        <v>46197.4992361111</v>
      </c>
      <c r="D2" s="3" t="s">
        <v>59</v>
      </c>
      <c r="E2" s="3"/>
      <c r="F2" s="3" t="s">
        <v>60</v>
      </c>
      <c r="G2" s="3" t="s">
        <v>61</v>
      </c>
      <c r="H2" s="3" t="s">
        <v>62</v>
      </c>
      <c r="J2" s="3"/>
      <c r="L2" s="3"/>
      <c r="N2" s="3"/>
      <c r="P2" s="3"/>
      <c r="R2" s="3"/>
      <c r="S2" s="3" t="s">
        <v>63</v>
      </c>
      <c r="T2" s="3" t="s">
        <v>64</v>
      </c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2" x14ac:dyDescent="0.3">
      <c r="A3">
        <v>10</v>
      </c>
      <c r="B3" s="1">
        <v>46197.499259259297</v>
      </c>
      <c r="C3" s="1">
        <v>46197.499976851803</v>
      </c>
      <c r="D3" s="3" t="s">
        <v>59</v>
      </c>
      <c r="E3" s="3"/>
      <c r="F3" s="3" t="s">
        <v>60</v>
      </c>
      <c r="G3" s="3" t="s">
        <v>61</v>
      </c>
      <c r="H3" s="3" t="s">
        <v>62</v>
      </c>
      <c r="J3" s="3"/>
      <c r="L3" s="3"/>
      <c r="N3" s="3"/>
      <c r="P3" s="3"/>
      <c r="R3" s="3"/>
      <c r="S3" s="3" t="s">
        <v>63</v>
      </c>
      <c r="T3" s="3" t="s">
        <v>64</v>
      </c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2" x14ac:dyDescent="0.3">
      <c r="A4">
        <v>11</v>
      </c>
      <c r="B4" s="1">
        <v>46197.500752314802</v>
      </c>
      <c r="C4" s="1">
        <v>46197.501192129603</v>
      </c>
      <c r="D4" s="3" t="s">
        <v>59</v>
      </c>
      <c r="E4" s="3"/>
      <c r="F4" s="3" t="s">
        <v>60</v>
      </c>
      <c r="G4" s="3" t="s">
        <v>65</v>
      </c>
      <c r="H4" s="3" t="s">
        <v>62</v>
      </c>
      <c r="J4" s="3"/>
      <c r="L4" s="3"/>
      <c r="N4" s="3"/>
      <c r="P4" s="3"/>
      <c r="R4" s="3"/>
      <c r="S4" s="3" t="s">
        <v>63</v>
      </c>
      <c r="T4" s="3" t="s">
        <v>64</v>
      </c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2" x14ac:dyDescent="0.3">
      <c r="A5">
        <v>12</v>
      </c>
      <c r="B5" s="1">
        <v>46197.502326388902</v>
      </c>
      <c r="C5" s="1">
        <v>46197.503321759301</v>
      </c>
      <c r="D5" s="3" t="s">
        <v>59</v>
      </c>
      <c r="E5" s="3"/>
      <c r="F5" s="3" t="s">
        <v>60</v>
      </c>
      <c r="G5" s="3" t="s">
        <v>66</v>
      </c>
      <c r="H5" s="3" t="s">
        <v>62</v>
      </c>
      <c r="J5" s="3"/>
      <c r="L5" s="3"/>
      <c r="N5" s="3"/>
      <c r="P5" s="3"/>
      <c r="R5" s="3"/>
      <c r="S5" s="3" t="s">
        <v>63</v>
      </c>
      <c r="T5" s="3" t="s">
        <v>67</v>
      </c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2" x14ac:dyDescent="0.3">
      <c r="A6">
        <v>13</v>
      </c>
      <c r="B6" s="1">
        <v>46197.503761574102</v>
      </c>
      <c r="C6" s="1">
        <v>46197.504189814797</v>
      </c>
      <c r="D6" s="3" t="s">
        <v>59</v>
      </c>
      <c r="E6" s="3"/>
      <c r="F6" s="3" t="s">
        <v>60</v>
      </c>
      <c r="G6" s="3" t="s">
        <v>68</v>
      </c>
      <c r="H6" s="3" t="s">
        <v>62</v>
      </c>
      <c r="J6" s="3"/>
      <c r="L6" s="3"/>
      <c r="N6" s="3"/>
      <c r="P6" s="3"/>
      <c r="R6" s="3"/>
      <c r="S6" s="3" t="s">
        <v>63</v>
      </c>
      <c r="T6" s="3" t="s">
        <v>69</v>
      </c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2" x14ac:dyDescent="0.3">
      <c r="A7">
        <v>14</v>
      </c>
      <c r="B7" s="1">
        <v>46197.504351851901</v>
      </c>
      <c r="C7" s="1">
        <v>46197.505011574103</v>
      </c>
      <c r="D7" s="3" t="s">
        <v>59</v>
      </c>
      <c r="E7" s="3"/>
      <c r="F7" s="3" t="s">
        <v>60</v>
      </c>
      <c r="G7" s="3" t="s">
        <v>70</v>
      </c>
      <c r="H7" s="3" t="s">
        <v>62</v>
      </c>
      <c r="J7" s="3"/>
      <c r="L7" s="3"/>
      <c r="N7" s="3"/>
      <c r="P7" s="3"/>
      <c r="R7" s="3"/>
      <c r="S7" s="3" t="s">
        <v>63</v>
      </c>
      <c r="T7" s="3" t="s">
        <v>67</v>
      </c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2" x14ac:dyDescent="0.3">
      <c r="A8">
        <v>15</v>
      </c>
      <c r="B8" s="1">
        <v>46197.505092592597</v>
      </c>
      <c r="C8" s="1">
        <v>46197.505474537</v>
      </c>
      <c r="D8" s="3" t="s">
        <v>59</v>
      </c>
      <c r="E8" s="3"/>
      <c r="F8" s="3" t="s">
        <v>60</v>
      </c>
      <c r="G8" s="3" t="s">
        <v>71</v>
      </c>
      <c r="H8" s="3" t="s">
        <v>62</v>
      </c>
      <c r="J8" s="3"/>
      <c r="L8" s="3"/>
      <c r="N8" s="3"/>
      <c r="P8" s="3"/>
      <c r="R8" s="3"/>
      <c r="S8" s="3" t="s">
        <v>63</v>
      </c>
      <c r="T8" s="3" t="s">
        <v>67</v>
      </c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2" x14ac:dyDescent="0.3">
      <c r="A9">
        <v>16</v>
      </c>
      <c r="B9" s="1">
        <v>46197.510162036997</v>
      </c>
      <c r="C9" s="1">
        <v>46197.5105092593</v>
      </c>
      <c r="D9" s="3" t="s">
        <v>59</v>
      </c>
      <c r="E9" s="3"/>
      <c r="F9" s="3" t="s">
        <v>60</v>
      </c>
      <c r="G9" s="3" t="s">
        <v>72</v>
      </c>
      <c r="H9" s="3" t="s">
        <v>62</v>
      </c>
      <c r="J9" s="3"/>
      <c r="L9" s="3"/>
      <c r="N9" s="3"/>
      <c r="P9" s="3"/>
      <c r="R9" s="3"/>
      <c r="S9" s="3" t="s">
        <v>63</v>
      </c>
      <c r="T9" s="3" t="s">
        <v>67</v>
      </c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2" x14ac:dyDescent="0.3">
      <c r="A10">
        <v>17</v>
      </c>
      <c r="B10" s="1">
        <v>46197.510625000003</v>
      </c>
      <c r="C10" s="1">
        <v>46197.511192129597</v>
      </c>
      <c r="D10" s="3" t="s">
        <v>59</v>
      </c>
      <c r="E10" s="3"/>
      <c r="F10" s="3" t="s">
        <v>60</v>
      </c>
      <c r="G10" s="3" t="s">
        <v>73</v>
      </c>
      <c r="H10" s="3" t="s">
        <v>62</v>
      </c>
      <c r="J10" s="3"/>
      <c r="L10" s="3"/>
      <c r="N10" s="3"/>
      <c r="P10" s="3"/>
      <c r="R10" s="3"/>
      <c r="S10" s="3" t="s">
        <v>63</v>
      </c>
      <c r="T10" s="3" t="s">
        <v>67</v>
      </c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2" x14ac:dyDescent="0.3">
      <c r="A11">
        <v>18</v>
      </c>
      <c r="B11" s="1">
        <v>46197.511770833298</v>
      </c>
      <c r="C11" s="1">
        <v>46197.512708333299</v>
      </c>
      <c r="D11" s="3" t="s">
        <v>59</v>
      </c>
      <c r="E11" s="3"/>
      <c r="F11" s="3" t="s">
        <v>60</v>
      </c>
      <c r="G11" s="3" t="s">
        <v>74</v>
      </c>
      <c r="H11" s="3" t="s">
        <v>62</v>
      </c>
      <c r="J11" s="3"/>
      <c r="L11" s="3"/>
      <c r="N11" s="3"/>
      <c r="P11" s="3"/>
      <c r="R11" s="3"/>
      <c r="S11" s="3" t="s">
        <v>63</v>
      </c>
      <c r="T11" s="3" t="s">
        <v>64</v>
      </c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2" x14ac:dyDescent="0.3">
      <c r="A12">
        <v>19</v>
      </c>
      <c r="B12" s="1">
        <v>46197.627870370401</v>
      </c>
      <c r="C12" s="1">
        <v>46197.628344907404</v>
      </c>
      <c r="D12" s="3" t="s">
        <v>59</v>
      </c>
      <c r="E12" s="3"/>
      <c r="F12" s="3" t="s">
        <v>75</v>
      </c>
      <c r="G12" s="3" t="s">
        <v>76</v>
      </c>
      <c r="H12" s="3" t="s">
        <v>77</v>
      </c>
      <c r="J12" s="3"/>
      <c r="L12" s="3"/>
      <c r="N12" s="3"/>
      <c r="P12" s="3"/>
      <c r="Q12">
        <v>10</v>
      </c>
      <c r="R12" s="3" t="s">
        <v>78</v>
      </c>
      <c r="S12" s="3"/>
      <c r="T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x14ac:dyDescent="0.3">
      <c r="A13">
        <v>20</v>
      </c>
      <c r="B13" s="1">
        <v>46197.628587963001</v>
      </c>
      <c r="C13" s="1">
        <v>46197.628865740699</v>
      </c>
      <c r="D13" s="3" t="s">
        <v>59</v>
      </c>
      <c r="E13" s="3"/>
      <c r="F13" s="3" t="s">
        <v>79</v>
      </c>
      <c r="G13" s="3" t="s">
        <v>76</v>
      </c>
      <c r="H13" s="3" t="s">
        <v>80</v>
      </c>
      <c r="J13" s="3"/>
      <c r="L13" s="3"/>
      <c r="M13">
        <v>10</v>
      </c>
      <c r="N13" s="3" t="s">
        <v>81</v>
      </c>
      <c r="P13" s="3"/>
      <c r="R13" s="3"/>
      <c r="S13" s="3"/>
      <c r="T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2" x14ac:dyDescent="0.3">
      <c r="A14">
        <v>21</v>
      </c>
      <c r="B14" s="1">
        <v>46197.628993055601</v>
      </c>
      <c r="C14" s="1">
        <v>46197.629212963002</v>
      </c>
      <c r="D14" s="3" t="s">
        <v>59</v>
      </c>
      <c r="E14" s="3"/>
      <c r="F14" s="3" t="s">
        <v>82</v>
      </c>
      <c r="G14" s="3" t="s">
        <v>83</v>
      </c>
      <c r="H14" s="3" t="s">
        <v>80</v>
      </c>
      <c r="J14" s="3"/>
      <c r="L14" s="3"/>
      <c r="M14">
        <v>10</v>
      </c>
      <c r="N14" s="3" t="s">
        <v>81</v>
      </c>
      <c r="P14" s="3"/>
      <c r="R14" s="3"/>
      <c r="S14" s="3"/>
      <c r="T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2" x14ac:dyDescent="0.3">
      <c r="A15">
        <v>22</v>
      </c>
      <c r="B15" s="1">
        <v>46197.628599536998</v>
      </c>
      <c r="C15" s="1">
        <v>46197.629374999997</v>
      </c>
      <c r="D15" s="3" t="s">
        <v>59</v>
      </c>
      <c r="E15" s="3"/>
      <c r="F15" s="3" t="s">
        <v>84</v>
      </c>
      <c r="G15" s="3" t="s">
        <v>85</v>
      </c>
      <c r="H15" s="3" t="s">
        <v>77</v>
      </c>
      <c r="J15" s="3"/>
      <c r="L15" s="3"/>
      <c r="N15" s="3"/>
      <c r="P15" s="3"/>
      <c r="Q15">
        <v>10</v>
      </c>
      <c r="R15" s="3" t="s">
        <v>86</v>
      </c>
      <c r="S15" s="3"/>
      <c r="T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2" x14ac:dyDescent="0.3">
      <c r="A16">
        <v>23</v>
      </c>
      <c r="B16" s="1">
        <v>46197.629259259302</v>
      </c>
      <c r="C16" s="1">
        <v>46197.629513888904</v>
      </c>
      <c r="D16" s="3" t="s">
        <v>59</v>
      </c>
      <c r="E16" s="3"/>
      <c r="F16" s="3" t="s">
        <v>82</v>
      </c>
      <c r="G16" s="3" t="s">
        <v>87</v>
      </c>
      <c r="H16" s="3" t="s">
        <v>80</v>
      </c>
      <c r="J16" s="3"/>
      <c r="L16" s="3"/>
      <c r="M16">
        <v>10</v>
      </c>
      <c r="N16" s="3" t="s">
        <v>81</v>
      </c>
      <c r="P16" s="3"/>
      <c r="R16" s="3"/>
      <c r="S16" s="3"/>
      <c r="T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2" x14ac:dyDescent="0.3">
      <c r="A17">
        <v>24</v>
      </c>
      <c r="B17" s="1">
        <v>46197.629560185203</v>
      </c>
      <c r="C17" s="1">
        <v>46197.629699074103</v>
      </c>
      <c r="D17" s="3" t="s">
        <v>59</v>
      </c>
      <c r="E17" s="3"/>
      <c r="F17" s="3" t="s">
        <v>82</v>
      </c>
      <c r="G17" s="3" t="s">
        <v>88</v>
      </c>
      <c r="H17" s="3" t="s">
        <v>80</v>
      </c>
      <c r="J17" s="3"/>
      <c r="L17" s="3"/>
      <c r="M17">
        <v>10</v>
      </c>
      <c r="N17" s="3" t="s">
        <v>81</v>
      </c>
      <c r="P17" s="3"/>
      <c r="R17" s="3"/>
      <c r="S17" s="3"/>
      <c r="T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2" x14ac:dyDescent="0.3">
      <c r="A18">
        <v>25</v>
      </c>
      <c r="B18" s="1">
        <v>46197.629722222198</v>
      </c>
      <c r="C18" s="1">
        <v>46197.629872685196</v>
      </c>
      <c r="D18" s="3" t="s">
        <v>59</v>
      </c>
      <c r="E18" s="3"/>
      <c r="F18" s="3" t="s">
        <v>79</v>
      </c>
      <c r="G18" s="3" t="s">
        <v>89</v>
      </c>
      <c r="H18" s="3" t="s">
        <v>80</v>
      </c>
      <c r="J18" s="3"/>
      <c r="L18" s="3"/>
      <c r="M18">
        <v>10</v>
      </c>
      <c r="N18" s="3" t="s">
        <v>81</v>
      </c>
      <c r="P18" s="3"/>
      <c r="R18" s="3"/>
      <c r="S18" s="3"/>
      <c r="T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2" x14ac:dyDescent="0.3">
      <c r="A19">
        <v>26</v>
      </c>
      <c r="B19" s="1">
        <v>46197.629918981504</v>
      </c>
      <c r="C19" s="1">
        <v>46197.630057870403</v>
      </c>
      <c r="D19" s="3" t="s">
        <v>59</v>
      </c>
      <c r="E19" s="3"/>
      <c r="F19" s="3" t="s">
        <v>79</v>
      </c>
      <c r="G19" s="3" t="s">
        <v>90</v>
      </c>
      <c r="H19" s="3" t="s">
        <v>80</v>
      </c>
      <c r="J19" s="3"/>
      <c r="L19" s="3"/>
      <c r="M19">
        <v>10</v>
      </c>
      <c r="N19" s="3" t="s">
        <v>81</v>
      </c>
      <c r="P19" s="3"/>
      <c r="R19" s="3"/>
      <c r="S19" s="3"/>
      <c r="T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2" x14ac:dyDescent="0.3">
      <c r="A20">
        <v>27</v>
      </c>
      <c r="B20" s="1">
        <v>46197.630092592597</v>
      </c>
      <c r="C20" s="1">
        <v>46197.630254629599</v>
      </c>
      <c r="D20" s="3" t="s">
        <v>59</v>
      </c>
      <c r="E20" s="3"/>
      <c r="F20" s="3" t="s">
        <v>79</v>
      </c>
      <c r="G20" s="3" t="s">
        <v>91</v>
      </c>
      <c r="H20" s="3" t="s">
        <v>80</v>
      </c>
      <c r="J20" s="3"/>
      <c r="L20" s="3"/>
      <c r="M20">
        <v>10</v>
      </c>
      <c r="N20" s="3" t="s">
        <v>81</v>
      </c>
      <c r="P20" s="3"/>
      <c r="R20" s="3"/>
      <c r="S20" s="3"/>
      <c r="T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2" x14ac:dyDescent="0.3">
      <c r="A21">
        <v>28</v>
      </c>
      <c r="B21" s="1">
        <v>46197.630289351902</v>
      </c>
      <c r="C21" s="1">
        <v>46197.630416666703</v>
      </c>
      <c r="D21" s="3" t="s">
        <v>59</v>
      </c>
      <c r="E21" s="3"/>
      <c r="F21" s="3" t="s">
        <v>79</v>
      </c>
      <c r="G21" s="3" t="s">
        <v>85</v>
      </c>
      <c r="H21" s="3" t="s">
        <v>80</v>
      </c>
      <c r="J21" s="3"/>
      <c r="L21" s="3"/>
      <c r="M21">
        <v>10</v>
      </c>
      <c r="N21" s="3" t="s">
        <v>81</v>
      </c>
      <c r="P21" s="3"/>
      <c r="R21" s="3"/>
      <c r="S21" s="3"/>
      <c r="T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2" x14ac:dyDescent="0.3">
      <c r="A22">
        <v>29</v>
      </c>
      <c r="B22" s="1">
        <v>46197.630451388897</v>
      </c>
      <c r="C22" s="1">
        <v>46197.630601851903</v>
      </c>
      <c r="D22" s="3" t="s">
        <v>59</v>
      </c>
      <c r="E22" s="3"/>
      <c r="F22" s="3" t="s">
        <v>79</v>
      </c>
      <c r="G22" s="3" t="s">
        <v>92</v>
      </c>
      <c r="H22" s="3" t="s">
        <v>80</v>
      </c>
      <c r="J22" s="3"/>
      <c r="L22" s="3"/>
      <c r="M22">
        <v>10</v>
      </c>
      <c r="N22" s="3" t="s">
        <v>81</v>
      </c>
      <c r="P22" s="3"/>
      <c r="R22" s="3"/>
      <c r="S22" s="3"/>
      <c r="T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2" x14ac:dyDescent="0.3">
      <c r="A23">
        <v>30</v>
      </c>
      <c r="B23" s="1">
        <v>46197.643877314797</v>
      </c>
      <c r="C23" s="1">
        <v>46197.645081018498</v>
      </c>
      <c r="D23" s="3" t="s">
        <v>59</v>
      </c>
      <c r="E23" s="3"/>
      <c r="F23" s="3" t="s">
        <v>93</v>
      </c>
      <c r="G23" s="3" t="s">
        <v>94</v>
      </c>
      <c r="H23" s="3" t="s">
        <v>77</v>
      </c>
      <c r="J23" s="3"/>
      <c r="L23" s="3"/>
      <c r="N23" s="3"/>
      <c r="P23" s="3"/>
      <c r="Q23">
        <v>10</v>
      </c>
      <c r="R23" s="3" t="s">
        <v>95</v>
      </c>
      <c r="S23" s="3"/>
      <c r="T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2" x14ac:dyDescent="0.3">
      <c r="A24">
        <v>31</v>
      </c>
      <c r="B24" s="1">
        <v>46197.690972222197</v>
      </c>
      <c r="C24" s="1">
        <v>46197.696689814802</v>
      </c>
      <c r="D24" s="3" t="s">
        <v>59</v>
      </c>
      <c r="E24" s="3"/>
      <c r="F24" s="3" t="s">
        <v>96</v>
      </c>
      <c r="G24" s="3" t="s">
        <v>97</v>
      </c>
      <c r="H24" s="3" t="s">
        <v>98</v>
      </c>
      <c r="J24" s="3"/>
      <c r="L24" s="3"/>
      <c r="N24" s="3"/>
      <c r="P24" s="3"/>
      <c r="R24" s="3"/>
      <c r="S24" s="3"/>
      <c r="T24" s="3"/>
      <c r="U24">
        <v>8</v>
      </c>
      <c r="V24" s="3" t="s">
        <v>99</v>
      </c>
      <c r="W24" s="3" t="s">
        <v>63</v>
      </c>
      <c r="X24" s="3"/>
      <c r="Y24" s="3" t="s">
        <v>63</v>
      </c>
      <c r="Z24" s="3"/>
      <c r="AA24" s="3" t="s">
        <v>63</v>
      </c>
      <c r="AB24" s="3"/>
      <c r="AC24" s="3" t="s">
        <v>100</v>
      </c>
      <c r="AD24" s="3" t="s">
        <v>101</v>
      </c>
      <c r="AE24" s="3" t="s">
        <v>102</v>
      </c>
      <c r="AF24" t="s">
        <v>103</v>
      </c>
    </row>
    <row r="25" spans="1:32" x14ac:dyDescent="0.3">
      <c r="A25">
        <v>32</v>
      </c>
      <c r="B25" s="1">
        <v>46197.705543981501</v>
      </c>
      <c r="C25" s="1">
        <v>46197.706724536998</v>
      </c>
      <c r="D25" s="3" t="s">
        <v>59</v>
      </c>
      <c r="E25" s="3"/>
      <c r="F25" s="3" t="s">
        <v>104</v>
      </c>
      <c r="G25" s="3" t="s">
        <v>105</v>
      </c>
      <c r="H25" s="3" t="s">
        <v>98</v>
      </c>
      <c r="J25" s="3"/>
      <c r="L25" s="3"/>
      <c r="N25" s="3"/>
      <c r="P25" s="3"/>
      <c r="R25" s="3"/>
      <c r="S25" s="3"/>
      <c r="T25" s="3"/>
      <c r="U25">
        <v>10</v>
      </c>
      <c r="V25" s="3" t="s">
        <v>106</v>
      </c>
      <c r="W25" s="3" t="s">
        <v>63</v>
      </c>
      <c r="X25" s="3"/>
      <c r="Y25" s="3" t="s">
        <v>63</v>
      </c>
      <c r="Z25" s="3"/>
      <c r="AA25" s="3" t="s">
        <v>63</v>
      </c>
      <c r="AB25" s="3"/>
      <c r="AC25" s="3" t="s">
        <v>107</v>
      </c>
      <c r="AD25" s="3" t="s">
        <v>108</v>
      </c>
      <c r="AE25" s="3"/>
    </row>
    <row r="26" spans="1:32" x14ac:dyDescent="0.3">
      <c r="A26">
        <v>33</v>
      </c>
      <c r="B26" s="1">
        <v>46197.705983796302</v>
      </c>
      <c r="C26" s="1">
        <v>46197.708124999997</v>
      </c>
      <c r="D26" s="3" t="s">
        <v>59</v>
      </c>
      <c r="E26" s="3"/>
      <c r="F26" s="3" t="s">
        <v>109</v>
      </c>
      <c r="G26" s="3" t="s">
        <v>110</v>
      </c>
      <c r="H26" s="3" t="s">
        <v>98</v>
      </c>
      <c r="J26" s="3"/>
      <c r="L26" s="3"/>
      <c r="N26" s="3"/>
      <c r="P26" s="3"/>
      <c r="R26" s="3"/>
      <c r="S26" s="3"/>
      <c r="T26" s="3"/>
      <c r="U26">
        <v>10</v>
      </c>
      <c r="V26" s="3" t="s">
        <v>111</v>
      </c>
      <c r="W26" s="3" t="s">
        <v>63</v>
      </c>
      <c r="X26" s="3"/>
      <c r="Y26" s="3" t="s">
        <v>63</v>
      </c>
      <c r="Z26" s="3"/>
      <c r="AA26" s="3" t="s">
        <v>63</v>
      </c>
      <c r="AB26" s="3"/>
      <c r="AC26" s="3" t="s">
        <v>112</v>
      </c>
      <c r="AD26" s="3" t="s">
        <v>108</v>
      </c>
      <c r="AE26" s="3"/>
    </row>
    <row r="27" spans="1:32" x14ac:dyDescent="0.3">
      <c r="A27">
        <v>34</v>
      </c>
      <c r="B27" s="1">
        <v>46197.708495370403</v>
      </c>
      <c r="C27" s="1">
        <v>46197.711585648103</v>
      </c>
      <c r="D27" s="3" t="s">
        <v>59</v>
      </c>
      <c r="E27" s="3"/>
      <c r="F27" s="3" t="s">
        <v>96</v>
      </c>
      <c r="G27" s="3" t="s">
        <v>83</v>
      </c>
      <c r="H27" s="3" t="s">
        <v>98</v>
      </c>
      <c r="J27" s="3"/>
      <c r="L27" s="3"/>
      <c r="N27" s="3"/>
      <c r="P27" s="3"/>
      <c r="R27" s="3"/>
      <c r="S27" s="3"/>
      <c r="T27" s="3"/>
      <c r="U27">
        <v>0</v>
      </c>
      <c r="V27" s="3" t="s">
        <v>113</v>
      </c>
      <c r="W27" s="3" t="s">
        <v>63</v>
      </c>
      <c r="X27" s="3"/>
      <c r="Y27" s="3" t="s">
        <v>63</v>
      </c>
      <c r="Z27" s="3"/>
      <c r="AA27" s="3" t="s">
        <v>63</v>
      </c>
      <c r="AB27" s="3"/>
      <c r="AC27" s="3" t="s">
        <v>114</v>
      </c>
      <c r="AD27" s="3" t="s">
        <v>101</v>
      </c>
      <c r="AE27" s="3" t="s">
        <v>115</v>
      </c>
      <c r="AF27" t="s">
        <v>103</v>
      </c>
    </row>
    <row r="28" spans="1:32" x14ac:dyDescent="0.3">
      <c r="A28">
        <v>35</v>
      </c>
      <c r="B28" s="1">
        <v>46198.256863425901</v>
      </c>
      <c r="C28" s="1">
        <v>46198.257881944402</v>
      </c>
      <c r="D28" s="3" t="s">
        <v>59</v>
      </c>
      <c r="E28" s="3"/>
      <c r="F28" s="3" t="s">
        <v>116</v>
      </c>
      <c r="G28" s="3" t="s">
        <v>87</v>
      </c>
      <c r="H28" s="3" t="s">
        <v>77</v>
      </c>
      <c r="J28" s="3"/>
      <c r="L28" s="3"/>
      <c r="N28" s="3"/>
      <c r="P28" s="3"/>
      <c r="Q28">
        <v>10</v>
      </c>
      <c r="R28" s="3" t="s">
        <v>117</v>
      </c>
      <c r="S28" s="3"/>
      <c r="T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2" x14ac:dyDescent="0.3">
      <c r="A29">
        <v>36</v>
      </c>
      <c r="B29" s="1">
        <v>46198.617928240703</v>
      </c>
      <c r="C29" s="1">
        <v>46198.620821759301</v>
      </c>
      <c r="D29" s="3" t="s">
        <v>59</v>
      </c>
      <c r="E29" s="3"/>
      <c r="F29" s="3" t="s">
        <v>118</v>
      </c>
      <c r="G29" s="3" t="s">
        <v>94</v>
      </c>
      <c r="H29" s="3" t="s">
        <v>80</v>
      </c>
      <c r="J29" s="3"/>
      <c r="L29" s="3"/>
      <c r="M29">
        <v>9</v>
      </c>
      <c r="N29" s="3" t="s">
        <v>119</v>
      </c>
      <c r="P29" s="3"/>
      <c r="R29" s="3"/>
      <c r="S29" s="3"/>
      <c r="T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2" x14ac:dyDescent="0.3">
      <c r="A30">
        <v>37</v>
      </c>
      <c r="B30" s="1">
        <v>46198.652662036999</v>
      </c>
      <c r="C30" s="1">
        <v>46198.654571759304</v>
      </c>
      <c r="D30" s="3" t="s">
        <v>59</v>
      </c>
      <c r="E30" s="3"/>
      <c r="F30" s="3" t="s">
        <v>120</v>
      </c>
      <c r="G30" s="3" t="s">
        <v>121</v>
      </c>
      <c r="H30" s="3" t="s">
        <v>98</v>
      </c>
      <c r="J30" s="3"/>
      <c r="L30" s="3"/>
      <c r="N30" s="3"/>
      <c r="P30" s="3"/>
      <c r="R30" s="3"/>
      <c r="S30" s="3"/>
      <c r="T30" s="3"/>
      <c r="U30">
        <v>10</v>
      </c>
      <c r="V30" s="3" t="s">
        <v>122</v>
      </c>
      <c r="W30" s="3" t="s">
        <v>63</v>
      </c>
      <c r="X30" s="3" t="s">
        <v>122</v>
      </c>
      <c r="Y30" s="3" t="s">
        <v>63</v>
      </c>
      <c r="Z30" s="3" t="s">
        <v>122</v>
      </c>
      <c r="AA30" s="3" t="s">
        <v>63</v>
      </c>
      <c r="AB30" s="3" t="s">
        <v>122</v>
      </c>
      <c r="AC30" s="3" t="s">
        <v>123</v>
      </c>
      <c r="AD30" s="3" t="s">
        <v>108</v>
      </c>
      <c r="AE30" s="3"/>
    </row>
    <row r="31" spans="1:32" x14ac:dyDescent="0.3">
      <c r="A31">
        <v>38</v>
      </c>
      <c r="B31" s="1">
        <v>46198.737685185202</v>
      </c>
      <c r="C31" s="1">
        <v>46198.738229166702</v>
      </c>
      <c r="D31" s="3" t="s">
        <v>59</v>
      </c>
      <c r="E31" s="3"/>
      <c r="F31" s="3" t="s">
        <v>124</v>
      </c>
      <c r="G31" s="3" t="s">
        <v>91</v>
      </c>
      <c r="H31" s="3" t="s">
        <v>77</v>
      </c>
      <c r="J31" s="3"/>
      <c r="L31" s="3"/>
      <c r="N31" s="3"/>
      <c r="P31" s="3"/>
      <c r="Q31">
        <v>10</v>
      </c>
      <c r="R31" s="3" t="s">
        <v>125</v>
      </c>
      <c r="S31" s="3"/>
      <c r="T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2" x14ac:dyDescent="0.3">
      <c r="A32">
        <v>39</v>
      </c>
      <c r="B32" s="1">
        <v>46201.394629629598</v>
      </c>
      <c r="C32" s="1">
        <v>46201.402418981503</v>
      </c>
      <c r="D32" s="3" t="s">
        <v>59</v>
      </c>
      <c r="E32" s="3"/>
      <c r="F32" s="3" t="s">
        <v>126</v>
      </c>
      <c r="G32" s="3" t="s">
        <v>127</v>
      </c>
      <c r="H32" s="3" t="s">
        <v>128</v>
      </c>
      <c r="J32" s="3"/>
      <c r="L32" s="3"/>
      <c r="N32" s="3"/>
      <c r="O32">
        <v>6</v>
      </c>
      <c r="P32" s="3" t="s">
        <v>129</v>
      </c>
      <c r="R32" s="3"/>
      <c r="S32" s="3"/>
      <c r="T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3">
      <c r="A33">
        <v>40</v>
      </c>
      <c r="B33" s="1">
        <v>46201.403599537</v>
      </c>
      <c r="C33" s="1">
        <v>46201.4055787037</v>
      </c>
      <c r="D33" s="3" t="s">
        <v>59</v>
      </c>
      <c r="E33" s="3"/>
      <c r="F33" s="3" t="s">
        <v>130</v>
      </c>
      <c r="G33" s="69" t="s">
        <v>131</v>
      </c>
      <c r="H33" s="3" t="s">
        <v>128</v>
      </c>
      <c r="J33" s="3"/>
      <c r="L33" s="3"/>
      <c r="N33" s="3"/>
      <c r="O33">
        <v>10</v>
      </c>
      <c r="P33" s="3" t="s">
        <v>132</v>
      </c>
      <c r="R33" s="3"/>
      <c r="S33" s="3"/>
      <c r="T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3">
      <c r="A34">
        <v>41</v>
      </c>
      <c r="B34" s="1">
        <v>46201.404502314799</v>
      </c>
      <c r="C34" s="1">
        <v>46201.408043981501</v>
      </c>
      <c r="D34" s="3" t="s">
        <v>59</v>
      </c>
      <c r="E34" s="3"/>
      <c r="F34" s="3" t="s">
        <v>133</v>
      </c>
      <c r="G34" s="3" t="s">
        <v>134</v>
      </c>
      <c r="H34" s="3" t="s">
        <v>128</v>
      </c>
      <c r="J34" s="3"/>
      <c r="L34" s="3"/>
      <c r="N34" s="3"/>
      <c r="O34">
        <v>5</v>
      </c>
      <c r="P34" s="3" t="s">
        <v>135</v>
      </c>
      <c r="R34" s="3"/>
      <c r="S34" s="3"/>
      <c r="T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3">
      <c r="A35">
        <v>42</v>
      </c>
      <c r="B35" s="1">
        <v>46201.521990740701</v>
      </c>
      <c r="C35" s="1">
        <v>46201.5229398148</v>
      </c>
      <c r="D35" s="3" t="s">
        <v>59</v>
      </c>
      <c r="E35" s="3"/>
      <c r="F35" s="3" t="s">
        <v>136</v>
      </c>
      <c r="G35" s="69" t="s">
        <v>137</v>
      </c>
      <c r="H35" s="3" t="s">
        <v>128</v>
      </c>
      <c r="J35" s="3"/>
      <c r="L35" s="3"/>
      <c r="N35" s="3"/>
      <c r="O35">
        <v>10</v>
      </c>
      <c r="P35" s="3" t="s">
        <v>138</v>
      </c>
      <c r="R35" s="3"/>
      <c r="S35" s="3"/>
      <c r="T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3">
      <c r="A36">
        <v>43</v>
      </c>
      <c r="B36" s="1">
        <v>46201.5317013889</v>
      </c>
      <c r="C36" s="1">
        <v>46201.5331828704</v>
      </c>
      <c r="D36" s="3" t="s">
        <v>59</v>
      </c>
      <c r="E36" s="3"/>
      <c r="F36" s="3" t="s">
        <v>139</v>
      </c>
      <c r="G36" s="69" t="s">
        <v>140</v>
      </c>
      <c r="H36" s="3" t="s">
        <v>128</v>
      </c>
      <c r="J36" s="3"/>
      <c r="L36" s="3"/>
      <c r="N36" s="3"/>
      <c r="O36">
        <v>8</v>
      </c>
      <c r="P36" s="3" t="s">
        <v>141</v>
      </c>
      <c r="R36" s="3"/>
      <c r="S36" s="3"/>
      <c r="T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3">
      <c r="A37">
        <v>44</v>
      </c>
      <c r="B37" s="1">
        <v>46201.536643518499</v>
      </c>
      <c r="C37" s="1">
        <v>46201.542708333298</v>
      </c>
      <c r="D37" s="3" t="s">
        <v>59</v>
      </c>
      <c r="E37" s="3"/>
      <c r="F37" s="3" t="s">
        <v>142</v>
      </c>
      <c r="G37" s="69" t="s">
        <v>143</v>
      </c>
      <c r="H37" s="3" t="s">
        <v>128</v>
      </c>
      <c r="J37" s="3"/>
      <c r="L37" s="3"/>
      <c r="N37" s="3"/>
      <c r="O37">
        <v>9</v>
      </c>
      <c r="P37" s="3" t="s">
        <v>144</v>
      </c>
      <c r="R37" s="3"/>
      <c r="S37" s="3"/>
      <c r="T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3">
      <c r="A38">
        <v>45</v>
      </c>
      <c r="B38" s="1">
        <v>46201.624398148197</v>
      </c>
      <c r="C38" s="1">
        <v>46201.627777777801</v>
      </c>
      <c r="D38" s="3" t="s">
        <v>59</v>
      </c>
      <c r="E38" s="3"/>
      <c r="F38" s="3" t="s">
        <v>145</v>
      </c>
      <c r="G38" s="69" t="s">
        <v>146</v>
      </c>
      <c r="H38" s="3" t="s">
        <v>128</v>
      </c>
      <c r="J38" s="3"/>
      <c r="L38" s="3"/>
      <c r="N38" s="3"/>
      <c r="O38">
        <v>5</v>
      </c>
      <c r="P38" s="3" t="s">
        <v>147</v>
      </c>
      <c r="R38" s="3"/>
      <c r="S38" s="3"/>
      <c r="T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3">
      <c r="A39">
        <v>46</v>
      </c>
      <c r="B39" s="1">
        <v>46201.780810185199</v>
      </c>
      <c r="C39" s="1">
        <v>46201.782546296301</v>
      </c>
      <c r="D39" s="3" t="s">
        <v>59</v>
      </c>
      <c r="E39" s="3"/>
      <c r="F39" s="3" t="s">
        <v>148</v>
      </c>
      <c r="G39" s="69" t="s">
        <v>149</v>
      </c>
      <c r="H39" s="3" t="s">
        <v>128</v>
      </c>
      <c r="J39" s="3"/>
      <c r="L39" s="3"/>
      <c r="N39" s="3"/>
      <c r="O39">
        <v>8</v>
      </c>
      <c r="P39" s="3" t="s">
        <v>150</v>
      </c>
      <c r="R39" s="3"/>
      <c r="S39" s="3"/>
      <c r="T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3">
      <c r="A40">
        <v>47</v>
      </c>
      <c r="B40" s="1">
        <v>46202.305428240703</v>
      </c>
      <c r="C40" s="1">
        <v>46202.308206018497</v>
      </c>
      <c r="D40" s="3" t="s">
        <v>59</v>
      </c>
      <c r="E40" s="3"/>
      <c r="F40" s="3" t="s">
        <v>151</v>
      </c>
      <c r="G40" s="69" t="s">
        <v>152</v>
      </c>
      <c r="H40" s="3" t="s">
        <v>98</v>
      </c>
      <c r="J40" s="3"/>
      <c r="L40" s="3"/>
      <c r="N40" s="3"/>
      <c r="P40" s="3"/>
      <c r="R40" s="3"/>
      <c r="S40" s="3"/>
      <c r="T40" s="3"/>
      <c r="U40">
        <v>7</v>
      </c>
      <c r="V40" s="3" t="s">
        <v>153</v>
      </c>
      <c r="W40" s="3" t="s">
        <v>63</v>
      </c>
      <c r="X40" s="3" t="s">
        <v>154</v>
      </c>
      <c r="Y40" s="3" t="s">
        <v>63</v>
      </c>
      <c r="Z40" s="3" t="s">
        <v>155</v>
      </c>
      <c r="AA40" s="3" t="s">
        <v>63</v>
      </c>
      <c r="AB40" s="3" t="s">
        <v>156</v>
      </c>
      <c r="AC40" s="3" t="s">
        <v>157</v>
      </c>
      <c r="AD40" s="3" t="s">
        <v>158</v>
      </c>
      <c r="AE40" s="3"/>
    </row>
    <row r="41" spans="1:31" x14ac:dyDescent="0.3">
      <c r="A41">
        <v>48</v>
      </c>
      <c r="B41" s="1">
        <v>46202.308425925898</v>
      </c>
      <c r="C41" s="1">
        <v>46202.309745370403</v>
      </c>
      <c r="D41" s="3" t="s">
        <v>59</v>
      </c>
      <c r="E41" s="3"/>
      <c r="F41" s="3" t="s">
        <v>159</v>
      </c>
      <c r="G41" s="3" t="s">
        <v>89</v>
      </c>
      <c r="H41" s="3" t="s">
        <v>98</v>
      </c>
      <c r="J41" s="3"/>
      <c r="L41" s="3"/>
      <c r="N41" s="3"/>
      <c r="P41" s="3"/>
      <c r="R41" s="3"/>
      <c r="S41" s="3"/>
      <c r="T41" s="3"/>
      <c r="U41">
        <v>10</v>
      </c>
      <c r="V41" s="3" t="s">
        <v>160</v>
      </c>
      <c r="W41" s="3" t="s">
        <v>63</v>
      </c>
      <c r="X41" s="3"/>
      <c r="Y41" s="3" t="s">
        <v>63</v>
      </c>
      <c r="Z41" s="3"/>
      <c r="AA41" s="3" t="s">
        <v>63</v>
      </c>
      <c r="AB41" s="3"/>
      <c r="AC41" s="3" t="s">
        <v>161</v>
      </c>
      <c r="AD41" s="3" t="s">
        <v>158</v>
      </c>
      <c r="AE41" s="3"/>
    </row>
    <row r="42" spans="1:31" x14ac:dyDescent="0.3">
      <c r="A42">
        <v>49</v>
      </c>
      <c r="B42" s="1">
        <v>46202.364085648202</v>
      </c>
      <c r="C42" s="1">
        <v>46202.366631944402</v>
      </c>
      <c r="D42" s="3" t="s">
        <v>59</v>
      </c>
      <c r="E42" s="3"/>
      <c r="F42" s="3" t="s">
        <v>162</v>
      </c>
      <c r="G42" s="69" t="s">
        <v>163</v>
      </c>
      <c r="H42" s="3" t="s">
        <v>98</v>
      </c>
      <c r="J42" s="3"/>
      <c r="L42" s="3"/>
      <c r="N42" s="3"/>
      <c r="P42" s="3"/>
      <c r="R42" s="3"/>
      <c r="S42" s="3"/>
      <c r="T42" s="3"/>
      <c r="U42">
        <v>8</v>
      </c>
      <c r="V42" s="3" t="s">
        <v>164</v>
      </c>
      <c r="W42" s="3" t="s">
        <v>63</v>
      </c>
      <c r="X42" s="3" t="s">
        <v>165</v>
      </c>
      <c r="Y42" s="3" t="s">
        <v>63</v>
      </c>
      <c r="Z42" s="3" t="s">
        <v>166</v>
      </c>
      <c r="AA42" s="3" t="s">
        <v>63</v>
      </c>
      <c r="AB42" s="3" t="s">
        <v>167</v>
      </c>
      <c r="AC42" s="3" t="s">
        <v>107</v>
      </c>
      <c r="AD42" s="3" t="s">
        <v>158</v>
      </c>
      <c r="AE42" s="3"/>
    </row>
    <row r="43" spans="1:31" x14ac:dyDescent="0.3">
      <c r="A43">
        <v>50</v>
      </c>
      <c r="B43" s="1">
        <v>46202.373854166697</v>
      </c>
      <c r="C43" s="1">
        <v>46202.376643518503</v>
      </c>
      <c r="D43" s="3" t="s">
        <v>59</v>
      </c>
      <c r="E43" s="3"/>
      <c r="F43" s="3" t="s">
        <v>168</v>
      </c>
      <c r="G43" s="3" t="s">
        <v>92</v>
      </c>
      <c r="H43" s="3" t="s">
        <v>98</v>
      </c>
      <c r="J43" s="3"/>
      <c r="L43" s="3"/>
      <c r="N43" s="3"/>
      <c r="P43" s="3"/>
      <c r="R43" s="3"/>
      <c r="S43" s="3"/>
      <c r="T43" s="3"/>
      <c r="U43">
        <v>8</v>
      </c>
      <c r="V43" s="3" t="s">
        <v>169</v>
      </c>
      <c r="W43" s="3" t="s">
        <v>63</v>
      </c>
      <c r="X43" s="3" t="s">
        <v>170</v>
      </c>
      <c r="Y43" s="3" t="s">
        <v>63</v>
      </c>
      <c r="Z43" s="3"/>
      <c r="AA43" s="3" t="s">
        <v>63</v>
      </c>
      <c r="AB43" s="3"/>
      <c r="AC43" s="3" t="s">
        <v>107</v>
      </c>
      <c r="AD43" s="3" t="s">
        <v>158</v>
      </c>
      <c r="AE43" s="3"/>
    </row>
    <row r="44" spans="1:31" x14ac:dyDescent="0.3">
      <c r="A44">
        <v>51</v>
      </c>
      <c r="B44" s="1">
        <v>46202.386562500003</v>
      </c>
      <c r="C44" s="1">
        <v>46202.394803240699</v>
      </c>
      <c r="D44" s="3" t="s">
        <v>59</v>
      </c>
      <c r="E44" s="3"/>
      <c r="F44" s="3" t="s">
        <v>171</v>
      </c>
      <c r="G44" s="69" t="s">
        <v>172</v>
      </c>
      <c r="H44" s="3" t="s">
        <v>98</v>
      </c>
      <c r="J44" s="3"/>
      <c r="L44" s="3"/>
      <c r="N44" s="3"/>
      <c r="P44" s="3"/>
      <c r="R44" s="3"/>
      <c r="S44" s="3"/>
      <c r="T44" s="3"/>
      <c r="U44">
        <v>5</v>
      </c>
      <c r="V44" s="3" t="s">
        <v>173</v>
      </c>
      <c r="W44" s="3" t="s">
        <v>63</v>
      </c>
      <c r="X44" s="3" t="s">
        <v>107</v>
      </c>
      <c r="Y44" s="3" t="s">
        <v>63</v>
      </c>
      <c r="Z44" s="3" t="s">
        <v>107</v>
      </c>
      <c r="AA44" s="3" t="s">
        <v>63</v>
      </c>
      <c r="AB44" s="3" t="s">
        <v>107</v>
      </c>
      <c r="AC44" s="3" t="s">
        <v>174</v>
      </c>
      <c r="AD44" s="3" t="s">
        <v>158</v>
      </c>
      <c r="AE44" s="3"/>
    </row>
    <row r="45" spans="1:31" x14ac:dyDescent="0.3">
      <c r="A45">
        <v>52</v>
      </c>
      <c r="B45" s="1">
        <v>46202.4058912037</v>
      </c>
      <c r="C45" s="1">
        <v>46202.408900463</v>
      </c>
      <c r="D45" s="3" t="s">
        <v>59</v>
      </c>
      <c r="E45" s="3"/>
      <c r="F45" s="3" t="s">
        <v>175</v>
      </c>
      <c r="G45" s="69" t="s">
        <v>176</v>
      </c>
      <c r="H45" s="3" t="s">
        <v>98</v>
      </c>
      <c r="J45" s="3"/>
      <c r="L45" s="3"/>
      <c r="N45" s="3"/>
      <c r="P45" s="3"/>
      <c r="R45" s="3"/>
      <c r="S45" s="3"/>
      <c r="T45" s="3"/>
      <c r="U45">
        <v>3</v>
      </c>
      <c r="V45" s="3" t="s">
        <v>177</v>
      </c>
      <c r="W45" s="3" t="s">
        <v>63</v>
      </c>
      <c r="X45" s="3" t="s">
        <v>178</v>
      </c>
      <c r="Y45" s="3" t="s">
        <v>63</v>
      </c>
      <c r="Z45" s="3" t="s">
        <v>179</v>
      </c>
      <c r="AA45" s="3" t="s">
        <v>63</v>
      </c>
      <c r="AB45" s="3"/>
      <c r="AC45" s="3" t="s">
        <v>107</v>
      </c>
      <c r="AD45" s="3" t="s">
        <v>101</v>
      </c>
      <c r="AE45" s="3" t="s">
        <v>180</v>
      </c>
    </row>
    <row r="46" spans="1:31" x14ac:dyDescent="0.3">
      <c r="A46">
        <v>53</v>
      </c>
      <c r="B46" s="1">
        <v>46202.669502314799</v>
      </c>
      <c r="C46" s="1">
        <v>46202.672812500001</v>
      </c>
      <c r="D46" s="3" t="s">
        <v>59</v>
      </c>
      <c r="E46" s="3"/>
      <c r="F46" s="3" t="s">
        <v>181</v>
      </c>
      <c r="G46" s="69" t="s">
        <v>182</v>
      </c>
      <c r="H46" s="3" t="s">
        <v>98</v>
      </c>
      <c r="J46" s="3"/>
      <c r="L46" s="3"/>
      <c r="N46" s="3"/>
      <c r="P46" s="3"/>
      <c r="R46" s="3"/>
      <c r="S46" s="3"/>
      <c r="T46" s="3"/>
      <c r="U46">
        <v>5</v>
      </c>
      <c r="V46" s="3" t="s">
        <v>183</v>
      </c>
      <c r="W46" s="3" t="s">
        <v>63</v>
      </c>
      <c r="X46" s="3"/>
      <c r="Y46" s="3" t="s">
        <v>63</v>
      </c>
      <c r="Z46" s="3"/>
      <c r="AA46" s="3" t="s">
        <v>63</v>
      </c>
      <c r="AB46" s="3"/>
      <c r="AC46" s="3" t="s">
        <v>184</v>
      </c>
      <c r="AD46" s="3" t="s">
        <v>101</v>
      </c>
      <c r="AE46" s="3" t="s">
        <v>185</v>
      </c>
    </row>
    <row r="47" spans="1:31" x14ac:dyDescent="0.3">
      <c r="A47">
        <v>54</v>
      </c>
      <c r="B47" s="1">
        <v>46202.966249999998</v>
      </c>
      <c r="C47" s="1">
        <v>46202.9675810185</v>
      </c>
      <c r="D47" s="3" t="s">
        <v>59</v>
      </c>
      <c r="E47" s="3"/>
      <c r="F47" s="3" t="s">
        <v>186</v>
      </c>
      <c r="G47" s="3" t="s">
        <v>83</v>
      </c>
      <c r="H47" s="3" t="s">
        <v>77</v>
      </c>
      <c r="J47" s="3"/>
      <c r="L47" s="3"/>
      <c r="N47" s="3"/>
      <c r="P47" s="3"/>
      <c r="Q47">
        <v>5</v>
      </c>
      <c r="R47" s="3" t="s">
        <v>187</v>
      </c>
      <c r="S47" s="3"/>
      <c r="T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3">
      <c r="A48">
        <v>55</v>
      </c>
      <c r="B48" s="1">
        <v>46203.441793981503</v>
      </c>
      <c r="C48" s="1">
        <v>46203.446956018503</v>
      </c>
      <c r="D48" s="3" t="s">
        <v>59</v>
      </c>
      <c r="E48" s="3"/>
      <c r="F48" s="3" t="s">
        <v>188</v>
      </c>
      <c r="G48" s="69" t="s">
        <v>189</v>
      </c>
      <c r="H48" s="3" t="s">
        <v>128</v>
      </c>
      <c r="J48" s="3"/>
      <c r="L48" s="3"/>
      <c r="N48" s="3"/>
      <c r="O48">
        <v>7</v>
      </c>
      <c r="P48" s="3" t="s">
        <v>190</v>
      </c>
      <c r="R48" s="3"/>
      <c r="S48" s="3"/>
      <c r="T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3">
      <c r="A49">
        <v>56</v>
      </c>
      <c r="B49" s="1">
        <v>46204.591168981497</v>
      </c>
      <c r="C49" s="1">
        <v>46204.593043981498</v>
      </c>
      <c r="D49" s="3" t="s">
        <v>59</v>
      </c>
      <c r="E49" s="3"/>
      <c r="F49" s="3" t="s">
        <v>191</v>
      </c>
      <c r="G49" s="3" t="s">
        <v>134</v>
      </c>
      <c r="H49" s="3" t="s">
        <v>77</v>
      </c>
      <c r="J49" s="3"/>
      <c r="L49" s="3"/>
      <c r="N49" s="3"/>
      <c r="P49" s="3"/>
      <c r="Q49">
        <v>8</v>
      </c>
      <c r="R49" s="3" t="s">
        <v>192</v>
      </c>
      <c r="S49" s="3"/>
      <c r="T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3">
      <c r="A50">
        <v>57</v>
      </c>
      <c r="B50" s="1">
        <v>46204.618333333303</v>
      </c>
      <c r="C50" s="1">
        <v>46204.6188541667</v>
      </c>
      <c r="D50" s="3" t="s">
        <v>59</v>
      </c>
      <c r="E50" s="3"/>
      <c r="F50" s="3" t="s">
        <v>193</v>
      </c>
      <c r="G50" s="3" t="s">
        <v>127</v>
      </c>
      <c r="H50" s="3" t="s">
        <v>77</v>
      </c>
      <c r="J50" s="3"/>
      <c r="L50" s="3"/>
      <c r="N50" s="3"/>
      <c r="P50" s="3"/>
      <c r="Q50">
        <v>10</v>
      </c>
      <c r="R50" s="3" t="s">
        <v>194</v>
      </c>
      <c r="S50" s="3"/>
      <c r="T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3">
      <c r="A51">
        <v>58</v>
      </c>
      <c r="B51" s="1">
        <v>46204.6874074074</v>
      </c>
      <c r="C51" s="1">
        <v>46204.688831018502</v>
      </c>
      <c r="D51" s="3" t="s">
        <v>59</v>
      </c>
      <c r="E51" s="3"/>
      <c r="F51" s="3" t="s">
        <v>195</v>
      </c>
      <c r="G51" s="3" t="s">
        <v>127</v>
      </c>
      <c r="H51" s="3" t="s">
        <v>80</v>
      </c>
      <c r="J51" s="3"/>
      <c r="L51" s="3"/>
      <c r="M51">
        <v>9</v>
      </c>
      <c r="N51" s="3" t="s">
        <v>196</v>
      </c>
      <c r="P51" s="3"/>
      <c r="R51" s="3"/>
      <c r="S51" s="3"/>
      <c r="T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3">
      <c r="A52">
        <v>59</v>
      </c>
      <c r="B52" s="1">
        <v>46204.688888888901</v>
      </c>
      <c r="C52" s="1">
        <v>46204.689178240696</v>
      </c>
      <c r="D52" s="3" t="s">
        <v>59</v>
      </c>
      <c r="E52" s="3"/>
      <c r="F52" s="3" t="s">
        <v>195</v>
      </c>
      <c r="G52" s="3" t="s">
        <v>197</v>
      </c>
      <c r="H52" s="3" t="s">
        <v>80</v>
      </c>
      <c r="J52" s="3"/>
      <c r="L52" s="3"/>
      <c r="M52">
        <v>10</v>
      </c>
      <c r="N52" s="3" t="s">
        <v>196</v>
      </c>
      <c r="P52" s="3"/>
      <c r="R52" s="3"/>
      <c r="S52" s="3"/>
      <c r="T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3">
      <c r="A53">
        <v>60</v>
      </c>
      <c r="B53" s="1">
        <v>46204.689236111102</v>
      </c>
      <c r="C53" s="1">
        <v>46204.689490740697</v>
      </c>
      <c r="D53" s="3" t="s">
        <v>59</v>
      </c>
      <c r="E53" s="3"/>
      <c r="F53" s="3" t="s">
        <v>195</v>
      </c>
      <c r="G53" s="3" t="s">
        <v>134</v>
      </c>
      <c r="H53" s="3" t="s">
        <v>80</v>
      </c>
      <c r="J53" s="3"/>
      <c r="L53" s="3"/>
      <c r="M53">
        <v>10</v>
      </c>
      <c r="N53" s="3" t="s">
        <v>196</v>
      </c>
      <c r="P53" s="3"/>
      <c r="R53" s="3"/>
      <c r="S53" s="3"/>
      <c r="T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3">
      <c r="A54">
        <v>61</v>
      </c>
      <c r="B54" s="1">
        <v>46204.689560185201</v>
      </c>
      <c r="C54" s="1">
        <v>46204.689733796302</v>
      </c>
      <c r="D54" s="3" t="s">
        <v>59</v>
      </c>
      <c r="E54" s="3"/>
      <c r="F54" s="3" t="s">
        <v>195</v>
      </c>
      <c r="G54" s="3" t="s">
        <v>198</v>
      </c>
      <c r="H54" s="3" t="s">
        <v>80</v>
      </c>
      <c r="J54" s="3"/>
      <c r="L54" s="3"/>
      <c r="M54">
        <v>10</v>
      </c>
      <c r="N54" s="3" t="s">
        <v>196</v>
      </c>
      <c r="P54" s="3"/>
      <c r="R54" s="3"/>
      <c r="S54" s="3"/>
      <c r="T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3">
      <c r="A55">
        <v>62</v>
      </c>
      <c r="B55" s="1">
        <v>46204.689826388902</v>
      </c>
      <c r="C55" s="1">
        <v>46204.689988425896</v>
      </c>
      <c r="D55" s="3" t="s">
        <v>59</v>
      </c>
      <c r="E55" s="3"/>
      <c r="F55" s="3" t="s">
        <v>199</v>
      </c>
      <c r="G55" s="3" t="s">
        <v>200</v>
      </c>
      <c r="H55" s="3" t="s">
        <v>80</v>
      </c>
      <c r="J55" s="3"/>
      <c r="L55" s="3"/>
      <c r="M55">
        <v>10</v>
      </c>
      <c r="N55" s="3" t="s">
        <v>196</v>
      </c>
      <c r="P55" s="3"/>
      <c r="R55" s="3"/>
      <c r="S55" s="3"/>
      <c r="T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3">
      <c r="A56">
        <v>63</v>
      </c>
      <c r="B56" s="1">
        <v>46204.690081018503</v>
      </c>
      <c r="C56" s="1">
        <v>46204.690358796302</v>
      </c>
      <c r="D56" s="3" t="s">
        <v>59</v>
      </c>
      <c r="E56" s="3"/>
      <c r="F56" s="3" t="s">
        <v>201</v>
      </c>
      <c r="G56" s="3" t="s">
        <v>202</v>
      </c>
      <c r="H56" s="3" t="s">
        <v>80</v>
      </c>
      <c r="J56" s="3"/>
      <c r="L56" s="3"/>
      <c r="M56">
        <v>10</v>
      </c>
      <c r="N56" s="3" t="s">
        <v>196</v>
      </c>
      <c r="P56" s="3"/>
      <c r="R56" s="3"/>
      <c r="S56" s="3"/>
      <c r="T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3">
      <c r="A57">
        <v>64</v>
      </c>
      <c r="B57" s="1">
        <v>46204.690451388902</v>
      </c>
      <c r="C57" s="1">
        <v>46204.690625000003</v>
      </c>
      <c r="D57" s="3" t="s">
        <v>59</v>
      </c>
      <c r="E57" s="3"/>
      <c r="F57" s="3" t="s">
        <v>201</v>
      </c>
      <c r="G57" s="3" t="s">
        <v>203</v>
      </c>
      <c r="H57" s="3" t="s">
        <v>80</v>
      </c>
      <c r="J57" s="3"/>
      <c r="L57" s="3"/>
      <c r="M57">
        <v>10</v>
      </c>
      <c r="N57" s="3" t="s">
        <v>196</v>
      </c>
      <c r="P57" s="3"/>
      <c r="R57" s="3"/>
      <c r="S57" s="3"/>
      <c r="T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3">
      <c r="A58">
        <v>65</v>
      </c>
      <c r="B58" s="1">
        <v>46204.690671296303</v>
      </c>
      <c r="C58" s="1">
        <v>46204.690891203703</v>
      </c>
      <c r="D58" s="3" t="s">
        <v>59</v>
      </c>
      <c r="E58" s="3"/>
      <c r="F58" s="3" t="s">
        <v>201</v>
      </c>
      <c r="G58" s="3" t="s">
        <v>204</v>
      </c>
      <c r="H58" s="3" t="s">
        <v>80</v>
      </c>
      <c r="J58" s="3"/>
      <c r="L58" s="3"/>
      <c r="M58">
        <v>10</v>
      </c>
      <c r="N58" s="3" t="s">
        <v>196</v>
      </c>
      <c r="P58" s="3"/>
      <c r="R58" s="3"/>
      <c r="S58" s="3"/>
      <c r="T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3">
      <c r="A59">
        <v>66</v>
      </c>
      <c r="B59" s="1">
        <v>46205.362129629597</v>
      </c>
      <c r="C59" s="1">
        <v>46205.362662036998</v>
      </c>
      <c r="D59" s="3" t="s">
        <v>59</v>
      </c>
      <c r="E59" s="3"/>
      <c r="F59" s="3" t="s">
        <v>60</v>
      </c>
      <c r="G59" s="3" t="s">
        <v>127</v>
      </c>
      <c r="H59" s="3" t="s">
        <v>62</v>
      </c>
      <c r="J59" s="3"/>
      <c r="L59" s="3"/>
      <c r="N59" s="3"/>
      <c r="P59" s="3"/>
      <c r="R59" s="3"/>
      <c r="S59" s="3" t="s">
        <v>63</v>
      </c>
      <c r="T59" s="3" t="s">
        <v>205</v>
      </c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3">
      <c r="A60">
        <v>67</v>
      </c>
      <c r="B60" s="1">
        <v>46205.362800925897</v>
      </c>
      <c r="C60" s="1">
        <v>46205.363275463002</v>
      </c>
      <c r="D60" s="3" t="s">
        <v>59</v>
      </c>
      <c r="E60" s="3"/>
      <c r="F60" s="3" t="s">
        <v>60</v>
      </c>
      <c r="G60" s="3" t="s">
        <v>197</v>
      </c>
      <c r="H60" s="3" t="s">
        <v>62</v>
      </c>
      <c r="J60" s="3"/>
      <c r="L60" s="3"/>
      <c r="N60" s="3"/>
      <c r="P60" s="3"/>
      <c r="R60" s="3"/>
      <c r="S60" s="3" t="s">
        <v>63</v>
      </c>
      <c r="T60" s="3" t="s">
        <v>206</v>
      </c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3">
      <c r="A61">
        <v>68</v>
      </c>
      <c r="B61" s="1">
        <v>46205.363460648201</v>
      </c>
      <c r="C61" s="1">
        <v>46205.363819444399</v>
      </c>
      <c r="D61" s="3" t="s">
        <v>59</v>
      </c>
      <c r="E61" s="3"/>
      <c r="F61" s="3" t="s">
        <v>60</v>
      </c>
      <c r="G61" s="3" t="s">
        <v>134</v>
      </c>
      <c r="H61" s="3" t="s">
        <v>62</v>
      </c>
      <c r="J61" s="3"/>
      <c r="L61" s="3"/>
      <c r="N61" s="3"/>
      <c r="P61" s="3"/>
      <c r="R61" s="3"/>
      <c r="S61" s="3" t="s">
        <v>63</v>
      </c>
      <c r="T61" s="3" t="s">
        <v>207</v>
      </c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3">
      <c r="A62">
        <v>69</v>
      </c>
      <c r="B62" s="1">
        <v>46205.363912036999</v>
      </c>
      <c r="C62" s="1">
        <v>46205.364328703698</v>
      </c>
      <c r="D62" s="3" t="s">
        <v>59</v>
      </c>
      <c r="E62" s="3"/>
      <c r="F62" s="3" t="s">
        <v>60</v>
      </c>
      <c r="G62" s="3" t="s">
        <v>198</v>
      </c>
      <c r="H62" s="3" t="s">
        <v>62</v>
      </c>
      <c r="J62" s="3"/>
      <c r="L62" s="3"/>
      <c r="N62" s="3"/>
      <c r="P62" s="3"/>
      <c r="R62" s="3"/>
      <c r="S62" s="3" t="s">
        <v>63</v>
      </c>
      <c r="T62" s="3" t="s">
        <v>208</v>
      </c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3">
      <c r="A63">
        <v>70</v>
      </c>
      <c r="B63" s="1">
        <v>46205.364456018498</v>
      </c>
      <c r="C63" s="1">
        <v>46205.365034722199</v>
      </c>
      <c r="D63" s="3" t="s">
        <v>59</v>
      </c>
      <c r="E63" s="3"/>
      <c r="F63" s="3" t="s">
        <v>60</v>
      </c>
      <c r="G63" s="3" t="s">
        <v>200</v>
      </c>
      <c r="H63" s="3" t="s">
        <v>62</v>
      </c>
      <c r="J63" s="3"/>
      <c r="L63" s="3"/>
      <c r="N63" s="3"/>
      <c r="P63" s="3"/>
      <c r="R63" s="3"/>
      <c r="S63" s="3" t="s">
        <v>63</v>
      </c>
      <c r="T63" s="3" t="s">
        <v>67</v>
      </c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3">
      <c r="A64">
        <v>71</v>
      </c>
      <c r="B64" s="1">
        <v>46205.365104166704</v>
      </c>
      <c r="C64" s="1">
        <v>46205.365381944401</v>
      </c>
      <c r="D64" s="3" t="s">
        <v>59</v>
      </c>
      <c r="E64" s="3"/>
      <c r="F64" s="3" t="s">
        <v>60</v>
      </c>
      <c r="G64" s="3" t="s">
        <v>202</v>
      </c>
      <c r="H64" s="3" t="s">
        <v>62</v>
      </c>
      <c r="J64" s="3"/>
      <c r="L64" s="3"/>
      <c r="N64" s="3"/>
      <c r="P64" s="3"/>
      <c r="R64" s="3"/>
      <c r="S64" s="3" t="s">
        <v>63</v>
      </c>
      <c r="T64" s="3" t="s">
        <v>67</v>
      </c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3">
      <c r="A65">
        <v>72</v>
      </c>
      <c r="B65" s="1">
        <v>46205.365636574097</v>
      </c>
      <c r="C65" s="1">
        <v>46205.365960648203</v>
      </c>
      <c r="D65" s="3" t="s">
        <v>59</v>
      </c>
      <c r="E65" s="3"/>
      <c r="F65" s="3" t="s">
        <v>60</v>
      </c>
      <c r="G65" s="3" t="s">
        <v>204</v>
      </c>
      <c r="H65" s="3" t="s">
        <v>62</v>
      </c>
      <c r="J65" s="3"/>
      <c r="L65" s="3"/>
      <c r="N65" s="3"/>
      <c r="P65" s="3"/>
      <c r="R65" s="3"/>
      <c r="S65" s="3" t="s">
        <v>63</v>
      </c>
      <c r="T65" s="3" t="s">
        <v>67</v>
      </c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3">
      <c r="A66">
        <v>73</v>
      </c>
      <c r="B66" s="1">
        <v>46205.366087962997</v>
      </c>
      <c r="C66" s="1">
        <v>46205.366493055597</v>
      </c>
      <c r="D66" s="3" t="s">
        <v>59</v>
      </c>
      <c r="E66" s="3"/>
      <c r="F66" s="3" t="s">
        <v>60</v>
      </c>
      <c r="G66" s="3" t="s">
        <v>209</v>
      </c>
      <c r="H66" s="3" t="s">
        <v>62</v>
      </c>
      <c r="J66" s="3"/>
      <c r="L66" s="3"/>
      <c r="N66" s="3"/>
      <c r="P66" s="3"/>
      <c r="R66" s="3"/>
      <c r="S66" s="3" t="s">
        <v>63</v>
      </c>
      <c r="T66" s="3" t="s">
        <v>67</v>
      </c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3">
      <c r="A67">
        <v>74</v>
      </c>
      <c r="B67" s="1">
        <v>46205.458946759303</v>
      </c>
      <c r="C67" s="1">
        <v>46205.462615740696</v>
      </c>
      <c r="D67" s="3" t="s">
        <v>59</v>
      </c>
      <c r="E67" s="3"/>
      <c r="F67" s="3" t="s">
        <v>210</v>
      </c>
      <c r="G67" s="3" t="s">
        <v>76</v>
      </c>
      <c r="H67" s="3" t="s">
        <v>211</v>
      </c>
      <c r="I67">
        <v>4</v>
      </c>
      <c r="J67" s="3" t="s">
        <v>212</v>
      </c>
      <c r="K67">
        <v>8</v>
      </c>
      <c r="L67" s="3" t="s">
        <v>213</v>
      </c>
      <c r="N67" s="3"/>
      <c r="P67" s="3"/>
      <c r="R67" s="3"/>
      <c r="S67" s="3"/>
      <c r="T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3">
      <c r="A68">
        <v>75</v>
      </c>
      <c r="B68" s="1">
        <v>46205.465821759302</v>
      </c>
      <c r="C68" s="1">
        <v>46205.467199074097</v>
      </c>
      <c r="D68" s="3" t="s">
        <v>59</v>
      </c>
      <c r="E68" s="3"/>
      <c r="F68" s="3" t="s">
        <v>210</v>
      </c>
      <c r="G68" s="3" t="s">
        <v>134</v>
      </c>
      <c r="H68" s="3" t="s">
        <v>211</v>
      </c>
      <c r="I68">
        <v>10</v>
      </c>
      <c r="J68" s="3" t="s">
        <v>214</v>
      </c>
      <c r="K68">
        <v>8</v>
      </c>
      <c r="L68" s="3" t="s">
        <v>215</v>
      </c>
      <c r="N68" s="3"/>
      <c r="P68" s="3"/>
      <c r="R68" s="3"/>
      <c r="S68" s="3"/>
      <c r="T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3">
      <c r="A69">
        <v>76</v>
      </c>
      <c r="B69" s="1">
        <v>46205.4678935185</v>
      </c>
      <c r="C69" s="1">
        <v>46205.469351851803</v>
      </c>
      <c r="D69" s="3" t="s">
        <v>59</v>
      </c>
      <c r="E69" s="3"/>
      <c r="F69" s="3" t="s">
        <v>210</v>
      </c>
      <c r="G69" s="3" t="s">
        <v>209</v>
      </c>
      <c r="H69" s="3" t="s">
        <v>211</v>
      </c>
      <c r="I69">
        <v>6</v>
      </c>
      <c r="J69" s="3" t="s">
        <v>216</v>
      </c>
      <c r="K69">
        <v>8</v>
      </c>
      <c r="L69" s="3" t="s">
        <v>215</v>
      </c>
      <c r="N69" s="3"/>
      <c r="P69" s="3"/>
      <c r="R69" s="3"/>
      <c r="S69" s="3"/>
      <c r="T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3">
      <c r="A70">
        <v>77</v>
      </c>
      <c r="B70" s="1">
        <v>46205.469884259299</v>
      </c>
      <c r="C70" s="1">
        <v>46205.473252314798</v>
      </c>
      <c r="D70" s="3" t="s">
        <v>59</v>
      </c>
      <c r="E70" s="3"/>
      <c r="F70" s="3" t="s">
        <v>210</v>
      </c>
      <c r="G70" s="3" t="s">
        <v>127</v>
      </c>
      <c r="H70" s="3" t="s">
        <v>211</v>
      </c>
      <c r="I70">
        <v>4</v>
      </c>
      <c r="J70" s="3" t="s">
        <v>217</v>
      </c>
      <c r="K70">
        <v>8</v>
      </c>
      <c r="L70" s="3" t="s">
        <v>218</v>
      </c>
      <c r="N70" s="3"/>
      <c r="P70" s="3"/>
      <c r="R70" s="3"/>
      <c r="S70" s="3"/>
      <c r="T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3">
      <c r="A71">
        <v>78</v>
      </c>
      <c r="B71" s="1">
        <v>46205.5844097222</v>
      </c>
      <c r="C71" s="1">
        <v>46205.585810185199</v>
      </c>
      <c r="D71" s="3" t="s">
        <v>59</v>
      </c>
      <c r="E71" s="3"/>
      <c r="F71" s="3" t="s">
        <v>193</v>
      </c>
      <c r="G71" s="3" t="s">
        <v>88</v>
      </c>
      <c r="H71" s="3" t="s">
        <v>77</v>
      </c>
      <c r="J71" s="3"/>
      <c r="L71" s="3"/>
      <c r="N71" s="3"/>
      <c r="P71" s="3"/>
      <c r="Q71">
        <v>10</v>
      </c>
      <c r="R71" s="3" t="s">
        <v>219</v>
      </c>
      <c r="S71" s="3"/>
      <c r="T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3">
      <c r="A72">
        <v>79</v>
      </c>
      <c r="B72" s="1">
        <v>46205.623715277798</v>
      </c>
      <c r="C72" s="1">
        <v>46205.626018518502</v>
      </c>
      <c r="D72" s="3" t="s">
        <v>59</v>
      </c>
      <c r="E72" s="3"/>
      <c r="F72" s="3" t="s">
        <v>220</v>
      </c>
      <c r="G72" s="3" t="s">
        <v>198</v>
      </c>
      <c r="H72" s="3" t="s">
        <v>77</v>
      </c>
      <c r="J72" s="3"/>
      <c r="L72" s="3"/>
      <c r="N72" s="3"/>
      <c r="P72" s="3"/>
      <c r="Q72">
        <v>8</v>
      </c>
      <c r="R72" s="3" t="s">
        <v>221</v>
      </c>
      <c r="S72" s="3"/>
      <c r="T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3">
      <c r="A73">
        <v>80</v>
      </c>
      <c r="B73" s="1">
        <v>46205.661805555603</v>
      </c>
      <c r="C73" s="1">
        <v>46205.662789351903</v>
      </c>
      <c r="D73" s="3" t="s">
        <v>59</v>
      </c>
      <c r="E73" s="3"/>
      <c r="F73" s="3" t="s">
        <v>222</v>
      </c>
      <c r="G73" s="3" t="s">
        <v>209</v>
      </c>
      <c r="H73" s="3" t="s">
        <v>98</v>
      </c>
      <c r="J73" s="3"/>
      <c r="L73" s="3"/>
      <c r="N73" s="3"/>
      <c r="P73" s="3"/>
      <c r="R73" s="3"/>
      <c r="S73" s="3"/>
      <c r="T73" s="3"/>
      <c r="U73">
        <v>9</v>
      </c>
      <c r="V73" s="3" t="s">
        <v>223</v>
      </c>
      <c r="W73" s="3" t="s">
        <v>63</v>
      </c>
      <c r="X73" s="3" t="s">
        <v>122</v>
      </c>
      <c r="Y73" s="3" t="s">
        <v>63</v>
      </c>
      <c r="Z73" s="3" t="s">
        <v>122</v>
      </c>
      <c r="AA73" s="3" t="s">
        <v>63</v>
      </c>
      <c r="AB73" s="3" t="s">
        <v>122</v>
      </c>
      <c r="AC73" s="3" t="s">
        <v>224</v>
      </c>
      <c r="AD73" s="3" t="s">
        <v>158</v>
      </c>
      <c r="AE73" s="3"/>
    </row>
    <row r="74" spans="1:31" x14ac:dyDescent="0.3">
      <c r="A74">
        <v>81</v>
      </c>
      <c r="B74" s="1">
        <v>46206.3230555556</v>
      </c>
      <c r="C74" s="1">
        <v>46206.325231481504</v>
      </c>
      <c r="D74" s="3" t="s">
        <v>59</v>
      </c>
      <c r="E74" s="3"/>
      <c r="F74" s="3" t="s">
        <v>171</v>
      </c>
      <c r="G74" s="3" t="s">
        <v>225</v>
      </c>
      <c r="H74" s="3" t="s">
        <v>98</v>
      </c>
      <c r="J74" s="3"/>
      <c r="L74" s="3"/>
      <c r="N74" s="3"/>
      <c r="P74" s="3"/>
      <c r="R74" s="3"/>
      <c r="S74" s="3"/>
      <c r="T74" s="3"/>
      <c r="U74">
        <v>5</v>
      </c>
      <c r="V74" s="3" t="s">
        <v>226</v>
      </c>
      <c r="W74" s="3" t="s">
        <v>63</v>
      </c>
      <c r="X74" s="3"/>
      <c r="Y74" s="3" t="s">
        <v>63</v>
      </c>
      <c r="Z74" s="3"/>
      <c r="AA74" s="3" t="s">
        <v>63</v>
      </c>
      <c r="AB74" s="3"/>
      <c r="AC74" s="3" t="s">
        <v>227</v>
      </c>
      <c r="AD74" s="3" t="s">
        <v>158</v>
      </c>
      <c r="AE74" s="3"/>
    </row>
    <row r="75" spans="1:31" x14ac:dyDescent="0.3">
      <c r="A75">
        <v>82</v>
      </c>
      <c r="B75" s="1">
        <v>46206.3425347222</v>
      </c>
      <c r="C75" s="1">
        <v>46206.3444212963</v>
      </c>
      <c r="D75" s="3" t="s">
        <v>59</v>
      </c>
      <c r="E75" s="3"/>
      <c r="F75" s="3" t="s">
        <v>228</v>
      </c>
      <c r="G75" s="3" t="s">
        <v>229</v>
      </c>
      <c r="H75" s="3" t="s">
        <v>98</v>
      </c>
      <c r="J75" s="3"/>
      <c r="L75" s="3"/>
      <c r="N75" s="3"/>
      <c r="P75" s="3"/>
      <c r="R75" s="3"/>
      <c r="S75" s="3"/>
      <c r="T75" s="3"/>
      <c r="U75">
        <v>10</v>
      </c>
      <c r="V75" s="3" t="s">
        <v>230</v>
      </c>
      <c r="W75" s="3" t="s">
        <v>63</v>
      </c>
      <c r="X75" s="3"/>
      <c r="Y75" s="3" t="s">
        <v>63</v>
      </c>
      <c r="Z75" s="3"/>
      <c r="AA75" s="3" t="s">
        <v>63</v>
      </c>
      <c r="AB75" s="3"/>
      <c r="AC75" s="3" t="s">
        <v>231</v>
      </c>
      <c r="AD75" s="3" t="s">
        <v>158</v>
      </c>
      <c r="AE75" s="3"/>
    </row>
    <row r="76" spans="1:31" x14ac:dyDescent="0.3">
      <c r="A76">
        <v>83</v>
      </c>
      <c r="B76" s="1">
        <v>46206.368726851899</v>
      </c>
      <c r="C76" s="1">
        <v>46206.371898148202</v>
      </c>
      <c r="D76" s="3" t="s">
        <v>59</v>
      </c>
      <c r="E76" s="3"/>
      <c r="F76" s="3" t="s">
        <v>162</v>
      </c>
      <c r="G76" s="3" t="s">
        <v>232</v>
      </c>
      <c r="H76" s="3" t="s">
        <v>98</v>
      </c>
      <c r="J76" s="3"/>
      <c r="L76" s="3"/>
      <c r="N76" s="3"/>
      <c r="P76" s="3"/>
      <c r="R76" s="3"/>
      <c r="S76" s="3"/>
      <c r="T76" s="3"/>
      <c r="U76">
        <v>8</v>
      </c>
      <c r="V76" s="3" t="s">
        <v>233</v>
      </c>
      <c r="W76" s="3" t="s">
        <v>63</v>
      </c>
      <c r="X76" s="3" t="s">
        <v>165</v>
      </c>
      <c r="Y76" s="3" t="s">
        <v>63</v>
      </c>
      <c r="Z76" s="3" t="s">
        <v>234</v>
      </c>
      <c r="AA76" s="3" t="s">
        <v>63</v>
      </c>
      <c r="AB76" s="3" t="s">
        <v>165</v>
      </c>
      <c r="AC76" s="3" t="s">
        <v>107</v>
      </c>
      <c r="AD76" s="3" t="s">
        <v>158</v>
      </c>
      <c r="AE76" s="3"/>
    </row>
    <row r="77" spans="1:31" x14ac:dyDescent="0.3">
      <c r="A77">
        <v>84</v>
      </c>
      <c r="B77" s="1">
        <v>46206.422696759299</v>
      </c>
      <c r="C77" s="1">
        <v>46206.497060185196</v>
      </c>
      <c r="D77" s="3" t="s">
        <v>59</v>
      </c>
      <c r="E77" s="3"/>
      <c r="F77" s="3" t="s">
        <v>235</v>
      </c>
      <c r="G77" s="3" t="s">
        <v>236</v>
      </c>
      <c r="H77" s="3" t="s">
        <v>98</v>
      </c>
      <c r="J77" s="3"/>
      <c r="L77" s="3"/>
      <c r="N77" s="3"/>
      <c r="P77" s="3"/>
      <c r="R77" s="3"/>
      <c r="S77" s="3"/>
      <c r="T77" s="3"/>
      <c r="U77">
        <v>5</v>
      </c>
      <c r="V77" s="3" t="s">
        <v>237</v>
      </c>
      <c r="W77" s="3" t="s">
        <v>63</v>
      </c>
      <c r="X77" s="3" t="s">
        <v>238</v>
      </c>
      <c r="Y77" s="3" t="s">
        <v>63</v>
      </c>
      <c r="Z77" s="3" t="s">
        <v>239</v>
      </c>
      <c r="AA77" s="3" t="s">
        <v>63</v>
      </c>
      <c r="AB77" s="3" t="s">
        <v>240</v>
      </c>
      <c r="AC77" s="3" t="s">
        <v>241</v>
      </c>
      <c r="AD77" s="3" t="s">
        <v>101</v>
      </c>
      <c r="AE77" s="3" t="s">
        <v>242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DF9B-299C-4B63-9C61-84A56FFA5371}">
  <sheetPr>
    <tabColor rgb="FFFFC000"/>
  </sheetPr>
  <dimension ref="A1:C6"/>
  <sheetViews>
    <sheetView workbookViewId="0">
      <selection activeCell="L13" sqref="L13"/>
    </sheetView>
  </sheetViews>
  <sheetFormatPr defaultRowHeight="14.4" x14ac:dyDescent="0.3"/>
  <cols>
    <col min="1" max="1" width="14.6640625" customWidth="1"/>
    <col min="2" max="2" width="15.6640625" customWidth="1"/>
    <col min="3" max="3" width="10.44140625" customWidth="1"/>
  </cols>
  <sheetData>
    <row r="1" spans="1:3" x14ac:dyDescent="0.3">
      <c r="A1" s="4" t="s">
        <v>243</v>
      </c>
      <c r="B1" s="4" t="s">
        <v>244</v>
      </c>
      <c r="C1" s="4" t="s">
        <v>245</v>
      </c>
    </row>
    <row r="2" spans="1:3" x14ac:dyDescent="0.3">
      <c r="A2" t="s">
        <v>246</v>
      </c>
      <c r="B2" t="s">
        <v>247</v>
      </c>
      <c r="C2" s="5">
        <v>46195</v>
      </c>
    </row>
    <row r="3" spans="1:3" x14ac:dyDescent="0.3">
      <c r="A3" t="s">
        <v>248</v>
      </c>
      <c r="B3" t="s">
        <v>249</v>
      </c>
      <c r="C3" s="5">
        <v>46195</v>
      </c>
    </row>
    <row r="4" spans="1:3" x14ac:dyDescent="0.3">
      <c r="A4" t="s">
        <v>246</v>
      </c>
      <c r="B4" t="s">
        <v>250</v>
      </c>
      <c r="C4" s="5">
        <v>46188</v>
      </c>
    </row>
    <row r="5" spans="1:3" x14ac:dyDescent="0.3">
      <c r="A5" t="s">
        <v>248</v>
      </c>
      <c r="B5" t="s">
        <v>251</v>
      </c>
      <c r="C5" s="5">
        <v>46175</v>
      </c>
    </row>
    <row r="6" spans="1:3" x14ac:dyDescent="0.3">
      <c r="A6" t="s">
        <v>252</v>
      </c>
      <c r="B6" t="s">
        <v>253</v>
      </c>
      <c r="C6" s="5">
        <v>46184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91E7-6B5F-4A04-9ECA-6FDAA045EDE0}">
  <sheetPr>
    <tabColor theme="4" tint="-0.249977111117893"/>
  </sheetPr>
  <dimension ref="A1:E44"/>
  <sheetViews>
    <sheetView topLeftCell="A31" workbookViewId="0">
      <selection activeCell="F47" sqref="F47"/>
    </sheetView>
  </sheetViews>
  <sheetFormatPr defaultRowHeight="14.4" x14ac:dyDescent="0.3"/>
  <cols>
    <col min="1" max="1" width="28.6640625" customWidth="1"/>
    <col min="2" max="2" width="9.109375" style="47"/>
    <col min="3" max="3" width="45.6640625" bestFit="1" customWidth="1"/>
    <col min="4" max="4" width="16.33203125" customWidth="1"/>
    <col min="5" max="5" width="17.6640625" customWidth="1"/>
  </cols>
  <sheetData>
    <row r="1" spans="1:5" x14ac:dyDescent="0.3">
      <c r="A1" s="54" t="s">
        <v>254</v>
      </c>
      <c r="B1" s="55" t="s">
        <v>255</v>
      </c>
      <c r="C1" s="54" t="s">
        <v>256</v>
      </c>
      <c r="D1" s="54" t="s">
        <v>257</v>
      </c>
      <c r="E1" s="54" t="s">
        <v>258</v>
      </c>
    </row>
    <row r="2" spans="1:5" x14ac:dyDescent="0.3">
      <c r="A2" t="s">
        <v>23</v>
      </c>
      <c r="B2" s="47">
        <v>82</v>
      </c>
      <c r="C2" t="s">
        <v>259</v>
      </c>
      <c r="D2" s="56">
        <v>46180</v>
      </c>
    </row>
    <row r="3" spans="1:5" x14ac:dyDescent="0.3">
      <c r="A3" t="s">
        <v>21</v>
      </c>
      <c r="B3" s="47">
        <v>82</v>
      </c>
      <c r="C3" t="s">
        <v>259</v>
      </c>
      <c r="D3" s="56">
        <v>46180</v>
      </c>
    </row>
    <row r="4" spans="1:5" x14ac:dyDescent="0.3">
      <c r="A4" t="s">
        <v>16</v>
      </c>
      <c r="B4" s="47">
        <v>82</v>
      </c>
      <c r="C4" t="s">
        <v>259</v>
      </c>
      <c r="D4" s="56">
        <v>46180</v>
      </c>
    </row>
    <row r="5" spans="1:5" x14ac:dyDescent="0.3">
      <c r="A5" t="s">
        <v>18</v>
      </c>
      <c r="B5" s="47">
        <v>82</v>
      </c>
      <c r="C5" t="s">
        <v>259</v>
      </c>
      <c r="D5" s="56">
        <v>46180</v>
      </c>
    </row>
    <row r="6" spans="1:5" x14ac:dyDescent="0.3">
      <c r="A6" t="s">
        <v>19</v>
      </c>
      <c r="B6" s="47">
        <v>86</v>
      </c>
      <c r="C6" t="s">
        <v>260</v>
      </c>
      <c r="D6" s="56">
        <v>46180</v>
      </c>
    </row>
    <row r="7" spans="1:5" x14ac:dyDescent="0.3">
      <c r="A7" t="s">
        <v>15</v>
      </c>
      <c r="B7" s="47">
        <v>86</v>
      </c>
      <c r="C7" t="s">
        <v>260</v>
      </c>
      <c r="D7" s="56">
        <v>46180</v>
      </c>
    </row>
    <row r="8" spans="1:5" x14ac:dyDescent="0.3">
      <c r="A8" t="s">
        <v>22</v>
      </c>
      <c r="B8" s="47">
        <v>86</v>
      </c>
      <c r="C8" t="s">
        <v>260</v>
      </c>
      <c r="D8" s="56">
        <v>46180</v>
      </c>
    </row>
    <row r="9" spans="1:5" x14ac:dyDescent="0.3">
      <c r="A9" t="s">
        <v>24</v>
      </c>
      <c r="B9" s="47">
        <v>86</v>
      </c>
      <c r="C9" t="s">
        <v>260</v>
      </c>
      <c r="D9" s="56">
        <v>46180</v>
      </c>
    </row>
    <row r="10" spans="1:5" x14ac:dyDescent="0.3">
      <c r="A10" t="s">
        <v>10</v>
      </c>
      <c r="B10" s="47">
        <v>79</v>
      </c>
      <c r="C10" t="s">
        <v>261</v>
      </c>
      <c r="D10" s="56">
        <v>46180</v>
      </c>
    </row>
    <row r="11" spans="1:5" x14ac:dyDescent="0.3">
      <c r="A11" t="s">
        <v>8</v>
      </c>
      <c r="B11" s="47">
        <v>79</v>
      </c>
      <c r="C11" t="s">
        <v>261</v>
      </c>
      <c r="D11" s="56">
        <v>46180</v>
      </c>
    </row>
    <row r="12" spans="1:5" x14ac:dyDescent="0.3">
      <c r="A12" t="s">
        <v>12</v>
      </c>
      <c r="B12" s="47">
        <v>79</v>
      </c>
      <c r="C12" t="s">
        <v>261</v>
      </c>
      <c r="D12" s="56">
        <v>46180</v>
      </c>
    </row>
    <row r="13" spans="1:5" x14ac:dyDescent="0.3">
      <c r="A13" t="s">
        <v>26</v>
      </c>
      <c r="B13" s="47">
        <v>79</v>
      </c>
      <c r="C13" t="s">
        <v>261</v>
      </c>
      <c r="D13" s="56">
        <v>46180</v>
      </c>
    </row>
    <row r="14" spans="1:5" x14ac:dyDescent="0.3">
      <c r="A14" t="s">
        <v>25</v>
      </c>
      <c r="B14" s="47">
        <v>79</v>
      </c>
      <c r="C14" t="s">
        <v>261</v>
      </c>
      <c r="D14" s="56">
        <v>46180</v>
      </c>
    </row>
    <row r="15" spans="1:5" x14ac:dyDescent="0.3">
      <c r="A15" t="s">
        <v>9</v>
      </c>
      <c r="B15" s="47">
        <v>85</v>
      </c>
      <c r="C15" t="s">
        <v>262</v>
      </c>
      <c r="D15" s="56">
        <v>46187</v>
      </c>
    </row>
    <row r="16" spans="1:5" x14ac:dyDescent="0.3">
      <c r="A16" t="s">
        <v>4</v>
      </c>
      <c r="B16" s="47">
        <v>85</v>
      </c>
      <c r="C16" t="s">
        <v>262</v>
      </c>
      <c r="D16" s="56">
        <v>46187</v>
      </c>
    </row>
    <row r="17" spans="1:4" x14ac:dyDescent="0.3">
      <c r="A17" t="s">
        <v>18</v>
      </c>
      <c r="B17" s="47">
        <v>85</v>
      </c>
      <c r="C17" t="s">
        <v>262</v>
      </c>
      <c r="D17" s="56">
        <v>46187</v>
      </c>
    </row>
    <row r="18" spans="1:4" x14ac:dyDescent="0.3">
      <c r="A18" t="s">
        <v>19</v>
      </c>
      <c r="B18" s="47">
        <v>85</v>
      </c>
      <c r="C18" t="s">
        <v>262</v>
      </c>
      <c r="D18" s="56">
        <v>46187</v>
      </c>
    </row>
    <row r="19" spans="1:4" x14ac:dyDescent="0.3">
      <c r="A19" t="s">
        <v>11</v>
      </c>
      <c r="B19" s="47">
        <v>76</v>
      </c>
      <c r="C19" t="s">
        <v>263</v>
      </c>
      <c r="D19" s="56">
        <v>46187</v>
      </c>
    </row>
    <row r="20" spans="1:4" x14ac:dyDescent="0.3">
      <c r="A20" t="s">
        <v>5</v>
      </c>
      <c r="B20" s="47">
        <v>78</v>
      </c>
      <c r="C20" t="s">
        <v>264</v>
      </c>
      <c r="D20" s="56">
        <v>46187</v>
      </c>
    </row>
    <row r="21" spans="1:4" x14ac:dyDescent="0.3">
      <c r="A21" t="s">
        <v>11</v>
      </c>
      <c r="B21" s="47">
        <v>78</v>
      </c>
      <c r="C21" t="s">
        <v>264</v>
      </c>
      <c r="D21" s="56">
        <v>46187</v>
      </c>
    </row>
    <row r="22" spans="1:4" x14ac:dyDescent="0.3">
      <c r="A22" t="s">
        <v>26</v>
      </c>
      <c r="B22" s="47">
        <v>78</v>
      </c>
      <c r="C22" t="s">
        <v>264</v>
      </c>
      <c r="D22" s="56">
        <v>46187</v>
      </c>
    </row>
    <row r="23" spans="1:4" x14ac:dyDescent="0.3">
      <c r="A23" t="s">
        <v>22</v>
      </c>
      <c r="B23" s="47">
        <v>78</v>
      </c>
      <c r="C23" t="s">
        <v>264</v>
      </c>
      <c r="D23" s="56">
        <v>46187</v>
      </c>
    </row>
    <row r="24" spans="1:4" x14ac:dyDescent="0.3">
      <c r="A24" t="s">
        <v>16</v>
      </c>
      <c r="B24" s="47">
        <v>78</v>
      </c>
      <c r="C24" t="s">
        <v>264</v>
      </c>
      <c r="D24" s="56">
        <v>46187</v>
      </c>
    </row>
    <row r="25" spans="1:4" x14ac:dyDescent="0.3">
      <c r="A25" t="s">
        <v>10</v>
      </c>
      <c r="B25" s="47">
        <v>71</v>
      </c>
      <c r="C25" t="s">
        <v>265</v>
      </c>
      <c r="D25" s="56">
        <v>46187</v>
      </c>
    </row>
    <row r="26" spans="1:4" x14ac:dyDescent="0.3">
      <c r="A26" t="s">
        <v>12</v>
      </c>
      <c r="B26" s="47">
        <v>71</v>
      </c>
      <c r="C26" t="s">
        <v>265</v>
      </c>
      <c r="D26" s="56">
        <v>46187</v>
      </c>
    </row>
    <row r="27" spans="1:4" x14ac:dyDescent="0.3">
      <c r="A27" t="s">
        <v>20</v>
      </c>
      <c r="B27" s="47">
        <v>71</v>
      </c>
      <c r="C27" t="s">
        <v>265</v>
      </c>
      <c r="D27" s="56">
        <v>46187</v>
      </c>
    </row>
    <row r="28" spans="1:4" x14ac:dyDescent="0.3">
      <c r="A28" t="s">
        <v>21</v>
      </c>
      <c r="B28" s="47">
        <v>71</v>
      </c>
      <c r="C28" t="s">
        <v>265</v>
      </c>
      <c r="D28" s="56">
        <v>46187</v>
      </c>
    </row>
    <row r="29" spans="1:4" x14ac:dyDescent="0.3">
      <c r="A29" t="s">
        <v>15</v>
      </c>
      <c r="B29" s="47">
        <v>77</v>
      </c>
      <c r="C29" t="s">
        <v>266</v>
      </c>
      <c r="D29" s="56">
        <v>46187</v>
      </c>
    </row>
    <row r="30" spans="1:4" x14ac:dyDescent="0.3">
      <c r="A30" t="s">
        <v>23</v>
      </c>
      <c r="B30" s="47">
        <v>77</v>
      </c>
      <c r="C30" t="s">
        <v>266</v>
      </c>
      <c r="D30" s="56">
        <v>46187</v>
      </c>
    </row>
    <row r="31" spans="1:4" x14ac:dyDescent="0.3">
      <c r="A31" t="s">
        <v>7</v>
      </c>
      <c r="B31" s="47">
        <v>83</v>
      </c>
      <c r="C31" t="s">
        <v>267</v>
      </c>
      <c r="D31" s="56">
        <v>46187</v>
      </c>
    </row>
    <row r="32" spans="1:4" x14ac:dyDescent="0.3">
      <c r="A32" t="s">
        <v>8</v>
      </c>
      <c r="B32" s="47">
        <v>83</v>
      </c>
      <c r="C32" t="s">
        <v>267</v>
      </c>
      <c r="D32" s="56">
        <v>46187</v>
      </c>
    </row>
    <row r="33" spans="1:4" x14ac:dyDescent="0.3">
      <c r="A33" t="s">
        <v>25</v>
      </c>
      <c r="B33" s="47">
        <v>83</v>
      </c>
      <c r="C33" t="s">
        <v>267</v>
      </c>
      <c r="D33" s="56">
        <v>46187</v>
      </c>
    </row>
    <row r="34" spans="1:4" x14ac:dyDescent="0.3">
      <c r="A34" t="s">
        <v>24</v>
      </c>
      <c r="B34" s="47">
        <v>83</v>
      </c>
      <c r="C34" t="s">
        <v>267</v>
      </c>
      <c r="D34" s="56">
        <v>46187</v>
      </c>
    </row>
    <row r="35" spans="1:4" x14ac:dyDescent="0.3">
      <c r="B35" s="71">
        <v>83.333333333333343</v>
      </c>
      <c r="C35" s="57" t="s">
        <v>268</v>
      </c>
      <c r="D35" s="58">
        <v>46194</v>
      </c>
    </row>
    <row r="36" spans="1:4" x14ac:dyDescent="0.3">
      <c r="B36" s="47">
        <v>78</v>
      </c>
      <c r="C36" s="57" t="s">
        <v>269</v>
      </c>
      <c r="D36" s="58">
        <v>46194</v>
      </c>
    </row>
    <row r="37" spans="1:4" x14ac:dyDescent="0.3">
      <c r="B37" s="47">
        <v>80</v>
      </c>
      <c r="C37" s="57" t="s">
        <v>270</v>
      </c>
      <c r="D37" s="58">
        <v>46194</v>
      </c>
    </row>
    <row r="38" spans="1:4" x14ac:dyDescent="0.3">
      <c r="B38" s="47">
        <v>72.5</v>
      </c>
      <c r="C38" s="57" t="s">
        <v>271</v>
      </c>
      <c r="D38" s="58">
        <v>46194</v>
      </c>
    </row>
    <row r="39" spans="1:4" x14ac:dyDescent="0.3">
      <c r="B39" s="47">
        <v>80</v>
      </c>
      <c r="C39" s="57" t="s">
        <v>272</v>
      </c>
      <c r="D39" s="58">
        <v>46194</v>
      </c>
    </row>
    <row r="40" spans="1:4" x14ac:dyDescent="0.3">
      <c r="B40" s="47">
        <v>73.33</v>
      </c>
      <c r="C40" s="57" t="s">
        <v>273</v>
      </c>
      <c r="D40" s="58">
        <v>46194</v>
      </c>
    </row>
    <row r="41" spans="1:4" x14ac:dyDescent="0.3">
      <c r="B41" s="47">
        <v>80</v>
      </c>
      <c r="C41" s="57" t="s">
        <v>274</v>
      </c>
      <c r="D41" s="58">
        <v>46194</v>
      </c>
    </row>
    <row r="42" spans="1:4" x14ac:dyDescent="0.3">
      <c r="B42" s="47">
        <v>76</v>
      </c>
      <c r="C42" s="57" t="s">
        <v>275</v>
      </c>
      <c r="D42" s="58">
        <v>46194</v>
      </c>
    </row>
    <row r="43" spans="1:4" x14ac:dyDescent="0.3">
      <c r="B43" s="47">
        <v>78</v>
      </c>
      <c r="C43" s="57" t="s">
        <v>276</v>
      </c>
      <c r="D43" s="58">
        <v>46194</v>
      </c>
    </row>
    <row r="44" spans="1:4" x14ac:dyDescent="0.3">
      <c r="B44" s="47">
        <v>80</v>
      </c>
      <c r="C44" s="57" t="s">
        <v>277</v>
      </c>
      <c r="D44" s="58">
        <v>46194</v>
      </c>
    </row>
  </sheetData>
  <autoFilter ref="A1:E22" xr:uid="{E56D91E7-6B5F-4A04-9ECA-6FDAA045EDE0}">
    <sortState xmlns:xlrd2="http://schemas.microsoft.com/office/spreadsheetml/2017/richdata2" ref="A2:E45">
      <sortCondition ref="D1:D2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8D8205-D5B6-4AF3-BCE1-E3C7E299CE92}">
          <x14:formula1>
            <xm:f>INDEX!$A$2:$A$40</xm:f>
          </x14:formula1>
          <xm:sqref>A2:A210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E9CF-8A51-43B6-B71C-5CC797C16E16}">
  <dimension ref="A1:BA34"/>
  <sheetViews>
    <sheetView workbookViewId="0">
      <pane xSplit="9" ySplit="2" topLeftCell="K3" activePane="bottomRight" state="frozen"/>
      <selection pane="topRight"/>
      <selection pane="bottomLeft"/>
      <selection pane="bottomRight" activeCell="K9" sqref="K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10.5546875" style="6" customWidth="1"/>
    <col min="4" max="4" width="30.5546875" style="6" customWidth="1"/>
    <col min="5" max="5" width="8.88671875" style="6" hidden="1" customWidth="1"/>
    <col min="6" max="6" width="1" style="6" customWidth="1"/>
    <col min="7" max="7" width="23" style="6" customWidth="1"/>
    <col min="8" max="8" width="6.6640625" style="6" customWidth="1"/>
    <col min="9" max="9" width="12.109375" style="6" bestFit="1" customWidth="1"/>
    <col min="10" max="10" width="6.6640625" style="6" hidden="1" customWidth="1"/>
    <col min="11" max="11" width="46" style="6" customWidth="1"/>
    <col min="12" max="12" width="1.109375" style="6" customWidth="1"/>
    <col min="13" max="13" width="2.554687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29.44140625" style="6" customWidth="1"/>
    <col min="20" max="20" width="9.6640625" style="6" customWidth="1"/>
    <col min="21" max="21" width="31.44140625" style="7" customWidth="1"/>
    <col min="22" max="22" width="2" style="6" customWidth="1"/>
    <col min="23" max="23" width="30" style="6" customWidth="1"/>
    <col min="24" max="24" width="9.6640625" style="6" customWidth="1"/>
    <col min="25" max="16384" width="9.109375" style="6"/>
  </cols>
  <sheetData>
    <row r="1" spans="1:53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</row>
    <row r="2" spans="1:53" ht="18" x14ac:dyDescent="0.3">
      <c r="A2" s="72"/>
      <c r="B2" s="23" t="s">
        <v>278</v>
      </c>
      <c r="C2" s="155" t="s">
        <v>279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</row>
    <row r="3" spans="1:53" ht="6" customHeight="1" x14ac:dyDescent="0.3">
      <c r="A3" s="72"/>
      <c r="B3" s="72"/>
      <c r="C3" s="72"/>
      <c r="D3" s="72"/>
      <c r="E3" s="72"/>
      <c r="F3" s="72"/>
      <c r="G3" s="10"/>
      <c r="H3" s="14"/>
      <c r="I3" s="14"/>
      <c r="J3" s="14"/>
      <c r="K3" s="72"/>
      <c r="L3" s="77"/>
      <c r="M3" s="78"/>
      <c r="N3" s="77"/>
      <c r="O3" s="77"/>
      <c r="P3" s="77"/>
      <c r="Q3" s="72"/>
      <c r="R3" s="74"/>
      <c r="S3" s="74"/>
      <c r="T3" s="74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</row>
    <row r="4" spans="1:53" x14ac:dyDescent="0.3">
      <c r="A4" s="72"/>
      <c r="B4" s="191">
        <v>1</v>
      </c>
      <c r="C4" s="191"/>
      <c r="D4" s="191"/>
      <c r="E4" s="72"/>
      <c r="F4" s="72"/>
      <c r="G4" s="161">
        <v>2</v>
      </c>
      <c r="H4" s="161"/>
      <c r="I4" s="161"/>
      <c r="J4" s="161"/>
      <c r="K4" s="161"/>
      <c r="L4" s="77"/>
      <c r="M4" s="78"/>
      <c r="N4" s="77"/>
      <c r="O4" s="77"/>
      <c r="P4" s="77"/>
      <c r="Q4" s="72"/>
      <c r="R4" s="74"/>
      <c r="S4" s="74"/>
      <c r="T4" s="74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</row>
    <row r="5" spans="1:53" ht="16.5" customHeight="1" x14ac:dyDescent="0.3">
      <c r="A5" s="72"/>
      <c r="B5" s="197" t="s">
        <v>280</v>
      </c>
      <c r="C5" s="198"/>
      <c r="D5" s="199"/>
      <c r="E5" s="24"/>
      <c r="F5" s="24"/>
      <c r="G5" s="185" t="s">
        <v>281</v>
      </c>
      <c r="H5" s="186"/>
      <c r="I5" s="186"/>
      <c r="J5" s="186"/>
      <c r="K5" s="187"/>
      <c r="L5" s="77"/>
      <c r="M5" s="78"/>
      <c r="N5" s="77"/>
      <c r="O5" s="188" t="s">
        <v>282</v>
      </c>
      <c r="P5" s="189"/>
      <c r="Q5" s="189"/>
      <c r="R5" s="189"/>
      <c r="S5" s="189"/>
      <c r="T5" s="189"/>
      <c r="U5" s="190"/>
      <c r="V5" s="72"/>
      <c r="W5" s="173" t="str">
        <f>C2</f>
        <v>42K DE FLORIPA - 07/06</v>
      </c>
      <c r="X5" s="173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</row>
    <row r="6" spans="1:53" x14ac:dyDescent="0.3">
      <c r="A6" s="72"/>
      <c r="B6" s="44" t="s">
        <v>283</v>
      </c>
      <c r="C6" s="42" t="s">
        <v>284</v>
      </c>
      <c r="D6" s="45" t="s">
        <v>285</v>
      </c>
      <c r="E6" s="72"/>
      <c r="F6" s="72"/>
      <c r="G6" s="18" t="s">
        <v>283</v>
      </c>
      <c r="H6" s="19" t="s">
        <v>286</v>
      </c>
      <c r="I6" s="19" t="s">
        <v>255</v>
      </c>
      <c r="J6" s="19" t="s">
        <v>287</v>
      </c>
      <c r="K6" s="20" t="s">
        <v>285</v>
      </c>
      <c r="L6" s="72"/>
      <c r="M6" s="73"/>
      <c r="N6" s="72"/>
      <c r="O6" s="79" t="s">
        <v>288</v>
      </c>
      <c r="P6" s="80" t="s">
        <v>289</v>
      </c>
      <c r="Q6" s="80" t="s">
        <v>255</v>
      </c>
      <c r="R6" s="81" t="s">
        <v>290</v>
      </c>
      <c r="S6" s="38" t="s">
        <v>280</v>
      </c>
      <c r="T6" s="81" t="s">
        <v>284</v>
      </c>
      <c r="U6" s="82" t="s">
        <v>291</v>
      </c>
      <c r="V6" s="72"/>
      <c r="W6" s="174"/>
      <c r="X6" s="174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</row>
    <row r="7" spans="1:53" ht="32.25" customHeight="1" x14ac:dyDescent="0.3">
      <c r="A7" s="72"/>
      <c r="B7" s="83" t="s">
        <v>49</v>
      </c>
      <c r="C7" s="84" t="str">
        <f t="shared" ref="C7:D10" si="0">T7</f>
        <v/>
      </c>
      <c r="D7" s="85" t="str">
        <f t="shared" si="0"/>
        <v/>
      </c>
      <c r="E7" s="86">
        <f>IF(C7="sim",25,0)</f>
        <v>0</v>
      </c>
      <c r="F7" s="72"/>
      <c r="G7" s="87" t="s">
        <v>47</v>
      </c>
      <c r="H7" s="88">
        <v>2</v>
      </c>
      <c r="I7" s="29">
        <f>Q7</f>
        <v>0</v>
      </c>
      <c r="J7" s="88">
        <f t="shared" ref="J7:J12" si="1">I7*H7</f>
        <v>0</v>
      </c>
      <c r="K7" s="89"/>
      <c r="L7" s="72"/>
      <c r="M7" s="73"/>
      <c r="N7" s="72"/>
      <c r="O7" s="90" t="s">
        <v>98</v>
      </c>
      <c r="P7" s="91" t="str" cm="1">
        <f t="array" ref="P7">_xlfn.TEXTJOIN(", ", TRUE, _xlfn._xlws.FILTER(Forms!$F:$F, (Forms!$G:$G=$C$2) * (Forms!$H:$H=O7), "Sem avaliador"))</f>
        <v>Sem avaliador</v>
      </c>
      <c r="Q7" s="34" cm="1">
        <f t="array" ref="Q7">IFERROR(AVERAGE(_xlfn._xlws.FILTER(IF(ROW(A1)=1, Forms!$U:$U, IF(ROW(A1)=2, Forms!$M:$M, IF(ROW(A1)=3, Forms!$O:$O, IF(ROW(A1)=4, Forms!$Q:$Q, IF(ROW(A1)=5, Forms!$K:$K, Forms!$I:$I))))), (Forms!$G:$G=$C$2) * (Forms!$H:$H=O7), 0)), "")</f>
        <v>0</v>
      </c>
      <c r="R7" s="92" t="str" cm="1">
        <f t="array" ref="R7">IFERROR(_xlfn.TEXTJOIN("; ", 1, _xlfn._xlws.FILTER(IF(ROW(A1)=1, Forms!$V:$V, IF(ROW(A1)=2, Forms!$N:$N, IF(ROW(A1)=3, Forms!$P:$P, IF(ROW(A1)=4, Forms!$R:$R, IF(ROW(A1)=5, Forms!$L:$L, Forms!$J:$J))))), (Forms!$G:$G=$C$2) * (Forms!$H:$H=O7))), "")</f>
        <v/>
      </c>
      <c r="S7" s="93" t="s">
        <v>49</v>
      </c>
      <c r="T7" s="94" t="str" cm="1">
        <f t="array" ref="T7">IFERROR(IF(ROW(A1)&gt;4, "", _xlfn.TEXTJOIN("; ", 1, _xlfn._xlws.FILTER(IF(ROW(A1)=1, Forms!$W:$W, IF(ROW(A1)=2, Forms!$Y:$Y, IF(ROW(A1)=3, Forms!$AA:$AA, Forms!$S:$S))), (Forms!$G:$G=$C$2) * (TRIM(Forms!$H:$H)=IF(ROW(A1)=4, "Ferramentas e case", "Cenografia"))))), "")</f>
        <v/>
      </c>
      <c r="U7" s="95" t="str" cm="1">
        <f t="array" ref="U7">IFERROR(IF(ROW(A1)&gt;4, "", _xlfn.TEXTJOIN("; ", 1, _xlfn._xlws.FILTER(IF(ROW(A1)=1, Forms!$X:$X, IF(ROW(A1)=2, Forms!$Z:$Z, IF(ROW(A1)=3, Forms!$AB:$AB, Forms!$T:$T))), (Forms!$G:$G=$C$2) * (Forms!$H:$H=IF(ROW(A1)=4, $O$12, $O$7))))), "")</f>
        <v/>
      </c>
      <c r="V7" s="72"/>
      <c r="W7" s="96"/>
      <c r="X7" s="97">
        <f t="shared" ref="X7:X12" si="2">$Q$26</f>
        <v>0</v>
      </c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</row>
    <row r="8" spans="1:53" ht="32.25" customHeight="1" x14ac:dyDescent="0.3">
      <c r="A8" s="72"/>
      <c r="B8" s="98" t="s">
        <v>51</v>
      </c>
      <c r="C8" s="99" t="str">
        <f t="shared" si="0"/>
        <v/>
      </c>
      <c r="D8" s="100" t="str">
        <f t="shared" si="0"/>
        <v/>
      </c>
      <c r="E8" s="86">
        <f>IF(C8="sim",25,0)</f>
        <v>0</v>
      </c>
      <c r="F8" s="72"/>
      <c r="G8" s="101" t="s">
        <v>292</v>
      </c>
      <c r="H8" s="102">
        <v>3</v>
      </c>
      <c r="I8" s="30">
        <f>Q8</f>
        <v>0</v>
      </c>
      <c r="J8" s="102">
        <f t="shared" si="1"/>
        <v>0</v>
      </c>
      <c r="K8" s="103"/>
      <c r="L8" s="72"/>
      <c r="M8" s="73"/>
      <c r="N8" s="72"/>
      <c r="O8" s="104" t="s">
        <v>80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IFERROR(AVERAGE(_xlfn._xlws.FILTER(IF(ROW(A2)=1, Forms!$U:$U, IF(ROW(A2)=2, Forms!$M:$M, IF(ROW(A2)=3, Forms!$O:$O, IF(ROW(A2)=4, Forms!$Q:$Q, IF(ROW(A2)=5, Forms!$K:$K, Forms!$I:$I))))), (Forms!$G:$G=$C$2) * (Forms!$H:$H=O8), 0)), "")</f>
        <v>0</v>
      </c>
      <c r="R8" s="106" t="str" cm="1">
        <f t="array" ref="R8">IFERROR(_xlfn.TEXTJOIN("; ", 1, _xlfn._xlws.FILTER(IF(ROW(A2)=1, Forms!$V:$V, IF(ROW(A2)=2, Forms!$N:$N, IF(ROW(A2)=3, Forms!$P:$P, IF(ROW(A2)=4, Forms!$R:$R, IF(ROW(A2)=5, Forms!$L:$L, Forms!$J:$J))))), (Forms!$G:$G=$C$2) * (Forms!$H:$H=O8))), "")</f>
        <v/>
      </c>
      <c r="S8" s="107" t="s">
        <v>51</v>
      </c>
      <c r="T8" s="108" t="str" cm="1">
        <f t="array" ref="T8">IFERROR(IF(ROW(A2)&gt;4, "", _xlfn.TEXTJOIN("; ", 1, _xlfn._xlws.FILTER(IF(ROW(A2)=1, Forms!$W:$W, IF(ROW(A2)=2, Forms!$Y:$Y, IF(ROW(A2)=3, Forms!$AA:$AA, Forms!$S:$S))), (Forms!$G:$G=$C$2) * (TRIM(Forms!$H:$H)=IF(ROW(A2)=4, "Ferramentas e case", "Cenografia"))))), "")</f>
        <v/>
      </c>
      <c r="U8" s="109" t="str" cm="1">
        <f t="array" ref="U8">IFERROR(IF(ROW(A2)&gt;4, "", _xlfn.TEXTJOIN("; ", 1, _xlfn._xlws.FILTER(IF(ROW(A2)=1, Forms!$X:$X, IF(ROW(A2)=2, Forms!$Z:$Z, IF(ROW(A2)=3, Forms!$AB:$AB, Forms!$T:$T))), (Forms!$G:$G=$C$2) * (Forms!$H:$H=IF(ROW(A2)=4, $O$12, $O$7))))), "")</f>
        <v/>
      </c>
      <c r="V8" s="72"/>
      <c r="W8" s="96"/>
      <c r="X8" s="97">
        <f t="shared" si="2"/>
        <v>0</v>
      </c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</row>
    <row r="9" spans="1:53" ht="32.25" customHeight="1" x14ac:dyDescent="0.3">
      <c r="A9" s="72"/>
      <c r="B9" s="110" t="s">
        <v>53</v>
      </c>
      <c r="C9" s="111" t="str">
        <f t="shared" si="0"/>
        <v/>
      </c>
      <c r="D9" s="112" t="str">
        <f t="shared" si="0"/>
        <v/>
      </c>
      <c r="E9" s="86">
        <f>IF(C9="sim",25,0)</f>
        <v>0</v>
      </c>
      <c r="F9" s="72"/>
      <c r="G9" s="101" t="s">
        <v>293</v>
      </c>
      <c r="H9" s="102">
        <v>3</v>
      </c>
      <c r="I9" s="30">
        <f t="shared" ref="I9:I11" si="3">Q9</f>
        <v>0</v>
      </c>
      <c r="J9" s="102">
        <f t="shared" si="1"/>
        <v>0</v>
      </c>
      <c r="K9" s="103"/>
      <c r="L9" s="72"/>
      <c r="M9" s="73"/>
      <c r="N9" s="72"/>
      <c r="O9" s="104" t="s">
        <v>128</v>
      </c>
      <c r="P9" s="105" t="str" cm="1">
        <f t="array" ref="P9">_xlfn.TEXTJOIN(", ", TRUE, _xlfn._xlws.FILTER(Forms!$F:$F, (Forms!$G:$G=$C$2) * (Forms!$H:$H=O9), "Sem avaliador"))</f>
        <v>Sem avaliador</v>
      </c>
      <c r="Q9" s="8" cm="1">
        <f t="array" ref="Q9">IFERROR(AVERAGE(_xlfn._xlws.FILTER(IF(ROW(A3)=1, Forms!$U:$U, IF(ROW(A3)=2, Forms!$M:$M, IF(ROW(A3)=3, Forms!$O:$O, IF(ROW(A3)=4, Forms!$Q:$Q, IF(ROW(A3)=5, Forms!$K:$K, Forms!$I:$I))))), (Forms!$G:$G=$C$2) * (Forms!$H:$H=O9), 0)), "")</f>
        <v>0</v>
      </c>
      <c r="R9" s="106" t="str" cm="1">
        <f t="array" ref="R9">IFERROR(_xlfn.TEXTJOIN("; ", 1, _xlfn._xlws.FILTER(IF(ROW(A3)=1, Forms!$V:$V, IF(ROW(A3)=2, Forms!$N:$N, IF(ROW(A3)=3, Forms!$P:$P, IF(ROW(A3)=4, Forms!$R:$R, IF(ROW(A3)=5, Forms!$L:$L, Forms!$J:$J))))), (Forms!$G:$G=$C$2) * (Forms!$H:$H=O9))), "")</f>
        <v/>
      </c>
      <c r="S9" s="107" t="s">
        <v>53</v>
      </c>
      <c r="T9" s="108" t="str" cm="1">
        <f t="array" ref="T9">IFERROR(IF(ROW(A3)&gt;4, "", _xlfn.TEXTJOIN("; ", 1, _xlfn._xlws.FILTER(IF(ROW(A3)=1, Forms!$W:$W, IF(ROW(A3)=2, Forms!$Y:$Y, IF(ROW(A3)=3, Forms!$AA:$AA, Forms!$S:$S))), (Forms!$G:$G=$C$2) * (TRIM(Forms!$H:$H)=IF(ROW(A3)=4, "Ferramentas e case", "Cenografia"))))), "")</f>
        <v/>
      </c>
      <c r="U9" s="109" t="str" cm="1">
        <f t="array" ref="U9">IFERROR(IF(ROW(A3)&gt;4, "", _xlfn.TEXTJOIN("; ", 1, _xlfn._xlws.FILTER(IF(ROW(A3)=1, Forms!$X:$X, IF(ROW(A3)=2, Forms!$Z:$Z, IF(ROW(A3)=3, Forms!$AB:$AB, Forms!$T:$T))), (Forms!$G:$G=$C$2) * (Forms!$H:$H=IF(ROW(A3)=4, $O$12, $O$7))))), "")</f>
        <v/>
      </c>
      <c r="V9" s="113"/>
      <c r="W9" s="96"/>
      <c r="X9" s="97">
        <f t="shared" si="2"/>
        <v>0</v>
      </c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</row>
    <row r="10" spans="1:53" ht="32.25" customHeight="1" x14ac:dyDescent="0.3">
      <c r="A10" s="72"/>
      <c r="B10" s="98" t="s">
        <v>45</v>
      </c>
      <c r="C10" s="99" t="str">
        <f t="shared" si="0"/>
        <v/>
      </c>
      <c r="D10" s="192" t="str">
        <f t="shared" si="0"/>
        <v/>
      </c>
      <c r="E10" s="86">
        <f>IF(C10="sim",25,0)</f>
        <v>0</v>
      </c>
      <c r="F10" s="72"/>
      <c r="G10" s="101" t="s">
        <v>43</v>
      </c>
      <c r="H10" s="102">
        <v>2</v>
      </c>
      <c r="I10" s="30">
        <f t="shared" si="3"/>
        <v>0</v>
      </c>
      <c r="J10" s="102">
        <f t="shared" si="1"/>
        <v>0</v>
      </c>
      <c r="K10" s="103"/>
      <c r="L10" s="72"/>
      <c r="M10" s="73"/>
      <c r="N10" s="72"/>
      <c r="O10" s="104" t="s">
        <v>77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IFERROR(AVERAGE(_xlfn._xlws.FILTER(IF(ROW(A4)=1, Forms!$U:$U, IF(ROW(A4)=2, Forms!$M:$M, IF(ROW(A4)=3, Forms!$O:$O, IF(ROW(A4)=4, Forms!$Q:$Q, IF(ROW(A4)=5, Forms!$K:$K, Forms!$I:$I))))), (Forms!$G:$G=$C$2) * (Forms!$H:$H=O10), 0)), "")</f>
        <v>0</v>
      </c>
      <c r="R10" s="106" t="str" cm="1">
        <f t="array" ref="R10">IFERROR(_xlfn.TEXTJOIN("; ", 1, _xlfn._xlws.FILTER(IF(ROW(A4)=1, Forms!$V:$V, IF(ROW(A4)=2, Forms!$N:$N, IF(ROW(A4)=3, Forms!$P:$P, IF(ROW(A4)=4, Forms!$R:$R, IF(ROW(A4)=5, Forms!$L:$L, Forms!$J:$J))))), (Forms!$G:$G=$C$2) * (Forms!$H:$H=O10))), "")</f>
        <v/>
      </c>
      <c r="S10" s="114" t="s">
        <v>45</v>
      </c>
      <c r="T10" s="108" t="str" cm="1">
        <f t="array" ref="T10">IFERROR(_xlfn.TEXTJOIN("; ", 1, _xlfn._xlws.FILTER(Forms!$S:$S, (Forms!$G:$G=$C$2) * (Forms!$H:$H="Ferramentas e Case (Cenografia)"))), "")</f>
        <v/>
      </c>
      <c r="U10" s="115" t="str" cm="1">
        <f t="array" ref="U10">IFERROR(_xlfn.TEXTJOIN("; ", 1, _xlfn._xlws.FILTER(Forms!$T:$T, (Forms!$G:$G=$C$2) * (Forms!$H:$H="Ferramentas e Case (Cenografia)"))), "")</f>
        <v/>
      </c>
      <c r="V10" s="11"/>
      <c r="W10" s="96"/>
      <c r="X10" s="97">
        <f t="shared" si="2"/>
        <v>0</v>
      </c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</row>
    <row r="11" spans="1:53" ht="32.25" customHeight="1" x14ac:dyDescent="0.3">
      <c r="A11" s="72"/>
      <c r="B11" s="116"/>
      <c r="C11" s="117"/>
      <c r="D11" s="193"/>
      <c r="E11" s="41">
        <f>SUM(E7:E10)</f>
        <v>0</v>
      </c>
      <c r="F11" s="72"/>
      <c r="G11" s="101" t="s">
        <v>294</v>
      </c>
      <c r="H11" s="102">
        <v>2</v>
      </c>
      <c r="I11" s="30">
        <f t="shared" si="3"/>
        <v>0</v>
      </c>
      <c r="J11" s="102">
        <f t="shared" si="1"/>
        <v>0</v>
      </c>
      <c r="K11" s="103"/>
      <c r="L11" s="72"/>
      <c r="M11" s="73"/>
      <c r="N11" s="72"/>
      <c r="O11" s="104" t="s">
        <v>211</v>
      </c>
      <c r="P11" s="105" t="str" cm="1">
        <f t="array" ref="P11">_xlfn.TEXTJOIN(", ", TRUE, _xlfn._xlws.FILTER(Forms!$F:$F, (Forms!$G:$G=$C$2) * (Forms!$H:$H=O11), "Sem avaliador"))</f>
        <v>Sem avaliador</v>
      </c>
      <c r="Q11" s="8" cm="1">
        <f t="array" ref="Q11">IFERROR(AVERAGE(_xlfn._xlws.FILTER(IF(ROW(A5)=1, Forms!$U:$U, IF(ROW(A5)=2, Forms!$M:$M, IF(ROW(A5)=3, Forms!$O:$O, IF(ROW(A5)=4, Forms!$Q:$Q, IF(ROW(A5)=5, Forms!$K:$K, Forms!$I:$I))))), (Forms!$G:$G=$C$2) * (Forms!$H:$H=O11), 0)), "")</f>
        <v>0</v>
      </c>
      <c r="R11" s="106" t="str" cm="1">
        <f t="array" ref="R11">IFERROR(_xlfn.TEXTJOIN("; ", 1, _xlfn._xlws.FILTER(IF(ROW(A5)=1, Forms!$V:$V, IF(ROW(A5)=2, Forms!$N:$N, IF(ROW(A5)=3, Forms!$P:$P, IF(ROW(A5)=4, Forms!$R:$R, IF(ROW(A5)=5, Forms!$L:$L, Forms!$J:$J))))), (Forms!$G:$G=$C$2) * (Forms!$H:$H=O11))), "")</f>
        <v/>
      </c>
      <c r="S11" s="39" t="s">
        <v>295</v>
      </c>
      <c r="T11" s="118" t="str" cm="1">
        <f t="array" ref="T11">IFERROR(_xlfn.TEXTJOIN("; ", 1, _xlfn._xlws.FILTER(Forms!$S:$S, (Forms!$G:$G=$C$2) * (Forms!$H:$H="Ferramentas e Case (Cenografia)"))), "")</f>
        <v/>
      </c>
      <c r="U11" s="119" t="str" cm="1">
        <f t="array" ref="U11">IFERROR(_xlfn.TEXTJOIN("; ", 1, _xlfn._xlws.FILTER(Forms!$T:$T, (Forms!$G:$G=$C$2) * (Forms!$H:$H="Ferramentas e Case (Cenografia)"))), "")</f>
        <v/>
      </c>
      <c r="V11" s="12"/>
      <c r="W11" s="96"/>
      <c r="X11" s="97">
        <f t="shared" si="2"/>
        <v>0</v>
      </c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</row>
    <row r="12" spans="1:53" ht="32.25" customHeight="1" x14ac:dyDescent="0.3">
      <c r="A12" s="72"/>
      <c r="B12" s="120"/>
      <c r="C12" s="121"/>
      <c r="D12" s="194"/>
      <c r="E12" s="72"/>
      <c r="F12" s="72"/>
      <c r="G12" s="122" t="s">
        <v>35</v>
      </c>
      <c r="H12" s="123">
        <v>2</v>
      </c>
      <c r="I12" s="31">
        <f>Q12</f>
        <v>0</v>
      </c>
      <c r="J12" s="123">
        <f t="shared" si="1"/>
        <v>0</v>
      </c>
      <c r="K12" s="124"/>
      <c r="L12" s="72"/>
      <c r="M12" s="73"/>
      <c r="N12" s="72"/>
      <c r="O12" s="125" t="s">
        <v>211</v>
      </c>
      <c r="P12" s="126" t="str" cm="1">
        <f t="array" ref="P12">_xlfn.TEXTJOIN(", ", TRUE, _xlfn._xlws.FILTER(Forms!$F:$F, (Forms!$G:$G=$C$2) * (Forms!$H:$H=O12), "Sem avaliador"))</f>
        <v>Sem avaliador</v>
      </c>
      <c r="Q12" s="35" cm="1">
        <f t="array" ref="Q12">IFERROR(AVERAGE(_xlfn._xlws.FILTER(IF(ROW(A6)=1, Forms!$U:$U, IF(ROW(A6)=2, Forms!$M:$M, IF(ROW(A6)=3, Forms!$O:$O, IF(ROW(A6)=4, Forms!$Q:$Q, IF(ROW(A6)=5, Forms!$K:$K, Forms!$I:$I))))), (Forms!$G:$G=$C$2) * (Forms!$H:$H=O12), 0)), "")</f>
        <v>0</v>
      </c>
      <c r="R12" s="127" t="str" cm="1">
        <f t="array" ref="R12">IFERROR(_xlfn.TEXTJOIN("; ", 1, _xlfn._xlws.FILTER(IF(ROW(A6)=1, Forms!$V:$V, IF(ROW(A6)=2, Forms!$N:$N, IF(ROW(A6)=3, Forms!$P:$P, IF(ROW(A6)=4, Forms!$R:$R, IF(ROW(A6)=5, Forms!$L:$L, Forms!$J:$J))))), (Forms!$G:$G=$C$2) * (Forms!$H:$H=O12))), "")</f>
        <v/>
      </c>
      <c r="S12" s="40" t="s">
        <v>296</v>
      </c>
      <c r="T12" s="128"/>
      <c r="U12" s="129"/>
      <c r="V12" s="76"/>
      <c r="W12" s="96"/>
      <c r="X12" s="97">
        <f t="shared" si="2"/>
        <v>0</v>
      </c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</row>
    <row r="13" spans="1:53" x14ac:dyDescent="0.3">
      <c r="A13" s="72"/>
      <c r="B13" s="195" t="s">
        <v>280</v>
      </c>
      <c r="C13" s="196"/>
      <c r="D13" s="43" t="str" cm="1">
        <f t="array" ref="D13">_xlfn.IFS(E11=100, "100%", E11=75, "-10 pontos", E11=50, "-20 pontos", E11=25, "-30 pontos", E11=0, "-40 pontos")</f>
        <v>-40 pontos</v>
      </c>
      <c r="E13" s="72"/>
      <c r="F13" s="72"/>
      <c r="G13" s="176" t="s">
        <v>281</v>
      </c>
      <c r="H13" s="177"/>
      <c r="I13" s="17">
        <f>SUM(J7:J12)/SUM(H7:H12)*10</f>
        <v>0</v>
      </c>
      <c r="J13" s="72"/>
      <c r="K13" s="76"/>
      <c r="L13" s="130"/>
      <c r="M13" s="131"/>
      <c r="N13" s="130"/>
      <c r="O13" s="132"/>
      <c r="P13" s="132"/>
      <c r="Q13" s="132"/>
      <c r="R13" s="74"/>
      <c r="S13" s="74"/>
      <c r="T13" s="72"/>
      <c r="U13" s="75"/>
      <c r="V13" s="72"/>
      <c r="W13" s="74"/>
      <c r="X13" s="74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</row>
    <row r="14" spans="1:53" ht="13.5" customHeight="1" x14ac:dyDescent="0.3">
      <c r="A14" s="72"/>
      <c r="B14" s="72"/>
      <c r="C14" s="72"/>
      <c r="D14" s="72"/>
      <c r="E14" s="72"/>
      <c r="F14" s="72"/>
      <c r="G14" s="72"/>
      <c r="H14" s="72"/>
      <c r="I14" s="76"/>
      <c r="J14" s="76"/>
      <c r="K14" s="76"/>
      <c r="L14" s="130"/>
      <c r="M14" s="131"/>
      <c r="N14" s="130"/>
      <c r="O14" s="72"/>
      <c r="P14" s="72"/>
      <c r="Q14" s="72"/>
      <c r="R14" s="72"/>
      <c r="S14" s="72"/>
      <c r="T14" s="72"/>
      <c r="U14" s="75"/>
      <c r="V14" s="72"/>
      <c r="W14" s="74"/>
      <c r="X14" s="74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</row>
    <row r="15" spans="1:53" ht="23.25" customHeight="1" x14ac:dyDescent="0.3">
      <c r="A15" s="72"/>
      <c r="B15" s="181" t="s">
        <v>297</v>
      </c>
      <c r="C15" s="182"/>
      <c r="D15" s="182"/>
      <c r="E15" s="133"/>
      <c r="F15" s="183">
        <f>I13+((E11-100)/2.5)</f>
        <v>-40</v>
      </c>
      <c r="G15" s="183"/>
      <c r="H15" s="183"/>
      <c r="I15" s="184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72"/>
      <c r="U15" s="75"/>
      <c r="V15" s="76"/>
      <c r="W15" s="76"/>
      <c r="X15" s="113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</row>
    <row r="16" spans="1:53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6"/>
      <c r="M16" s="134"/>
      <c r="N16" s="76"/>
      <c r="O16" s="72"/>
      <c r="P16" s="72"/>
      <c r="Q16" s="72"/>
      <c r="R16" s="72"/>
      <c r="S16" s="72"/>
      <c r="T16" s="72"/>
      <c r="U16" s="75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</row>
    <row r="17" spans="1:53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3"/>
      <c r="N17" s="72"/>
      <c r="O17" s="72"/>
      <c r="P17" s="72"/>
      <c r="Q17" s="72"/>
      <c r="R17" s="113"/>
      <c r="S17" s="113"/>
      <c r="T17" s="113"/>
      <c r="U17" s="130"/>
      <c r="V17" s="76"/>
      <c r="W17" s="76"/>
      <c r="X17" s="113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</row>
    <row r="18" spans="1:53" ht="20.25" customHeight="1" x14ac:dyDescent="0.3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4"/>
      <c r="L18" s="72"/>
      <c r="M18" s="73"/>
      <c r="N18" s="72"/>
      <c r="O18" s="72"/>
      <c r="P18" s="72"/>
      <c r="Q18" s="72"/>
      <c r="R18" s="113"/>
      <c r="S18" s="113"/>
      <c r="T18" s="113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</row>
    <row r="19" spans="1:53" s="7" customFormat="1" ht="20.25" customHeight="1" x14ac:dyDescent="0.3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135"/>
      <c r="N19" s="75"/>
      <c r="O19" s="75"/>
      <c r="P19" s="75"/>
      <c r="Q19" s="75"/>
      <c r="R19" s="13"/>
      <c r="S19" s="13"/>
      <c r="T19" s="13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</row>
    <row r="20" spans="1:53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3"/>
      <c r="N20" s="72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137"/>
      <c r="BA20" s="72"/>
    </row>
    <row r="21" spans="1:53" ht="20.25" customHeight="1" x14ac:dyDescent="0.3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130"/>
      <c r="L21" s="130"/>
      <c r="M21" s="131"/>
      <c r="N21" s="130"/>
      <c r="O21" s="13"/>
      <c r="P21" s="72"/>
      <c r="Q21" s="72"/>
      <c r="R21" s="136"/>
      <c r="S21" s="136"/>
      <c r="T21" s="136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</row>
    <row r="22" spans="1:53" x14ac:dyDescent="0.3">
      <c r="A22" s="72"/>
      <c r="B22" s="72"/>
      <c r="C22" s="72"/>
      <c r="D22" s="72"/>
      <c r="E22" s="72"/>
      <c r="F22" s="72"/>
      <c r="G22" s="72"/>
      <c r="H22" s="72"/>
      <c r="I22" s="72"/>
      <c r="J22" s="113"/>
      <c r="K22" s="72"/>
      <c r="L22" s="130"/>
      <c r="M22" s="131"/>
      <c r="N22" s="130"/>
      <c r="O22" s="13"/>
      <c r="P22" s="72"/>
      <c r="Q22" s="72"/>
      <c r="R22" s="138"/>
      <c r="S22" s="138"/>
      <c r="T22" s="138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</row>
    <row r="23" spans="1:53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72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</row>
    <row r="24" spans="1:53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</row>
    <row r="25" spans="1:53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130"/>
      <c r="M25" s="131"/>
      <c r="N25" s="130"/>
      <c r="O25" s="13"/>
      <c r="P25" s="13"/>
      <c r="Q25" s="113"/>
      <c r="R25" s="136"/>
      <c r="S25" s="136"/>
      <c r="T25" s="136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139"/>
      <c r="BA25" s="72"/>
    </row>
    <row r="26" spans="1:53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130"/>
      <c r="L26" s="72"/>
      <c r="M26" s="73"/>
      <c r="N26" s="72"/>
      <c r="O26" s="72"/>
      <c r="P26" s="72"/>
      <c r="Q26" s="113"/>
      <c r="R26" s="140"/>
      <c r="S26" s="140"/>
      <c r="T26" s="140"/>
      <c r="U26" s="140"/>
      <c r="V26" s="140"/>
      <c r="W26" s="140"/>
      <c r="X26" s="140"/>
      <c r="Y26" s="140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</row>
    <row r="27" spans="1:53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6"/>
      <c r="L27" s="72"/>
      <c r="M27" s="73"/>
      <c r="N27" s="72"/>
      <c r="O27" s="72"/>
      <c r="P27" s="72"/>
      <c r="Q27" s="11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</row>
    <row r="28" spans="1:53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3"/>
      <c r="N28" s="72"/>
      <c r="O28" s="72"/>
      <c r="P28" s="72"/>
      <c r="Q28" s="72"/>
      <c r="R28" s="72"/>
      <c r="S28" s="72"/>
      <c r="T28" s="72"/>
      <c r="U28" s="72"/>
      <c r="V28" s="72"/>
      <c r="W28" s="113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</row>
    <row r="29" spans="1:53" ht="15" customHeight="1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113"/>
      <c r="M29" s="141"/>
      <c r="N29" s="113"/>
      <c r="O29" s="72"/>
      <c r="P29" s="72"/>
      <c r="Q29" s="72"/>
      <c r="R29" s="72"/>
      <c r="S29" s="72"/>
      <c r="T29" s="72"/>
      <c r="U29" s="72"/>
      <c r="V29" s="113"/>
      <c r="W29" s="113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</row>
    <row r="30" spans="1:53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4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</row>
    <row r="31" spans="1:53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/>
      <c r="P31" s="72"/>
      <c r="Q31" s="72"/>
      <c r="R31" s="74"/>
      <c r="S31" s="74"/>
      <c r="T31" s="74"/>
      <c r="U31" s="72"/>
      <c r="V31" s="72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</row>
    <row r="32" spans="1:53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 t="s">
        <v>298</v>
      </c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</row>
    <row r="33" spans="1:53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4"/>
      <c r="S33" s="74"/>
      <c r="T33" s="74"/>
      <c r="U33" s="75"/>
      <c r="V33" s="76"/>
      <c r="W33" s="72"/>
      <c r="X33" s="74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</row>
    <row r="34" spans="1:53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</row>
  </sheetData>
  <mergeCells count="12">
    <mergeCell ref="F15:I15"/>
    <mergeCell ref="D10:D12"/>
    <mergeCell ref="W5:X6"/>
    <mergeCell ref="G13:H13"/>
    <mergeCell ref="B15:D15"/>
    <mergeCell ref="B13:C13"/>
    <mergeCell ref="B5:D5"/>
    <mergeCell ref="C2:I2"/>
    <mergeCell ref="G4:K4"/>
    <mergeCell ref="G5:K5"/>
    <mergeCell ref="O5:U5"/>
    <mergeCell ref="B4:D4"/>
  </mergeCells>
  <conditionalFormatting sqref="H7:I12">
    <cfRule type="cellIs" dxfId="51" priority="1" operator="equal">
      <formula>0</formula>
    </cfRule>
  </conditionalFormatting>
  <conditionalFormatting sqref="Q7:Q12">
    <cfRule type="cellIs" dxfId="50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3EE-87E0-4BF2-8CA6-C1277E204512}">
  <dimension ref="A1:AZ34"/>
  <sheetViews>
    <sheetView workbookViewId="0">
      <pane xSplit="8" ySplit="2" topLeftCell="J3" activePane="bottomRight" state="frozen"/>
      <selection pane="topRight"/>
      <selection pane="bottomLeft"/>
      <selection pane="bottomRight" activeCell="N16" sqref="N16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10.5546875" style="6" customWidth="1"/>
    <col min="4" max="4" width="8.88671875" style="6" hidden="1" customWidth="1"/>
    <col min="5" max="5" width="1" style="6" customWidth="1"/>
    <col min="6" max="6" width="23" style="6" customWidth="1"/>
    <col min="7" max="7" width="6.6640625" style="6" customWidth="1"/>
    <col min="8" max="8" width="12.109375" style="6" bestFit="1" customWidth="1"/>
    <col min="9" max="9" width="6.6640625" style="6" hidden="1" customWidth="1"/>
    <col min="10" max="10" width="46" style="6" customWidth="1"/>
    <col min="11" max="11" width="1.109375" style="6" customWidth="1"/>
    <col min="12" max="12" width="2.5546875" style="28" customWidth="1"/>
    <col min="13" max="13" width="1.109375" style="6" customWidth="1"/>
    <col min="14" max="14" width="15.88671875" style="6" customWidth="1"/>
    <col min="15" max="15" width="20" style="6" customWidth="1"/>
    <col min="16" max="16" width="10.5546875" style="6" customWidth="1"/>
    <col min="17" max="17" width="28.109375" style="6" customWidth="1"/>
    <col min="18" max="18" width="29.44140625" style="6" customWidth="1"/>
    <col min="19" max="19" width="9.6640625" style="6" customWidth="1"/>
    <col min="20" max="20" width="31.44140625" style="7" customWidth="1"/>
    <col min="21" max="21" width="2" style="6" customWidth="1"/>
    <col min="22" max="22" width="30" style="6" customWidth="1"/>
    <col min="23" max="23" width="9.6640625" style="6" customWidth="1"/>
    <col min="24" max="16384" width="9.109375" style="6"/>
  </cols>
  <sheetData>
    <row r="1" spans="1:52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3"/>
      <c r="M1" s="72"/>
      <c r="N1" s="72"/>
      <c r="O1" s="72"/>
      <c r="P1" s="72"/>
      <c r="Q1" s="74"/>
      <c r="R1" s="74"/>
      <c r="S1" s="74"/>
      <c r="T1" s="75"/>
      <c r="U1" s="76"/>
      <c r="V1" s="72"/>
      <c r="W1" s="74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</row>
    <row r="2" spans="1:52" ht="18" x14ac:dyDescent="0.3">
      <c r="A2" s="72"/>
      <c r="B2" s="23" t="s">
        <v>278</v>
      </c>
      <c r="C2" s="155" t="s">
        <v>299</v>
      </c>
      <c r="D2" s="156"/>
      <c r="E2" s="156"/>
      <c r="F2" s="156"/>
      <c r="G2" s="156"/>
      <c r="H2" s="156"/>
      <c r="I2" s="32"/>
      <c r="J2" s="33"/>
      <c r="K2" s="77"/>
      <c r="L2" s="78"/>
      <c r="M2" s="77"/>
      <c r="N2" s="77"/>
      <c r="O2" s="77"/>
      <c r="P2" s="72"/>
      <c r="Q2" s="74"/>
      <c r="R2" s="74"/>
      <c r="S2" s="74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</row>
    <row r="3" spans="1:52" ht="6" customHeight="1" x14ac:dyDescent="0.3">
      <c r="A3" s="72"/>
      <c r="B3" s="72"/>
      <c r="C3" s="72"/>
      <c r="D3" s="72"/>
      <c r="E3" s="72"/>
      <c r="F3" s="10"/>
      <c r="G3" s="14"/>
      <c r="H3" s="14"/>
      <c r="I3" s="14"/>
      <c r="J3" s="72"/>
      <c r="K3" s="77"/>
      <c r="L3" s="78"/>
      <c r="M3" s="77"/>
      <c r="N3" s="77"/>
      <c r="O3" s="77"/>
      <c r="P3" s="72"/>
      <c r="Q3" s="74"/>
      <c r="R3" s="74"/>
      <c r="S3" s="74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</row>
    <row r="4" spans="1:52" x14ac:dyDescent="0.3">
      <c r="A4" s="72"/>
      <c r="B4" s="158">
        <v>1</v>
      </c>
      <c r="C4" s="158"/>
      <c r="D4" s="72"/>
      <c r="E4" s="72"/>
      <c r="F4" s="161">
        <v>2</v>
      </c>
      <c r="G4" s="161"/>
      <c r="H4" s="161"/>
      <c r="I4" s="161"/>
      <c r="J4" s="161"/>
      <c r="K4" s="77"/>
      <c r="L4" s="78"/>
      <c r="M4" s="77"/>
      <c r="N4" s="77"/>
      <c r="O4" s="77"/>
      <c r="P4" s="72"/>
      <c r="Q4" s="74"/>
      <c r="R4" s="74"/>
      <c r="S4" s="74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</row>
    <row r="5" spans="1:52" ht="15.75" customHeight="1" x14ac:dyDescent="0.3">
      <c r="A5" s="72"/>
      <c r="B5" s="206" t="s">
        <v>280</v>
      </c>
      <c r="C5" s="207"/>
      <c r="D5" s="24"/>
      <c r="E5" s="24"/>
      <c r="F5" s="185" t="s">
        <v>281</v>
      </c>
      <c r="G5" s="186"/>
      <c r="H5" s="186"/>
      <c r="I5" s="186"/>
      <c r="J5" s="187"/>
      <c r="K5" s="77"/>
      <c r="L5" s="78"/>
      <c r="M5" s="77"/>
      <c r="N5" s="188" t="s">
        <v>282</v>
      </c>
      <c r="O5" s="189"/>
      <c r="P5" s="189"/>
      <c r="Q5" s="189"/>
      <c r="R5" s="189"/>
      <c r="S5" s="189"/>
      <c r="T5" s="190"/>
      <c r="U5" s="72"/>
      <c r="V5" s="173" t="str">
        <f>C2</f>
        <v>TESTE outono</v>
      </c>
      <c r="W5" s="173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</row>
    <row r="6" spans="1:52" x14ac:dyDescent="0.3">
      <c r="A6" s="72"/>
      <c r="B6" s="21" t="s">
        <v>283</v>
      </c>
      <c r="C6" s="22" t="s">
        <v>284</v>
      </c>
      <c r="D6" s="72"/>
      <c r="E6" s="72"/>
      <c r="F6" s="18" t="s">
        <v>283</v>
      </c>
      <c r="G6" s="19" t="s">
        <v>286</v>
      </c>
      <c r="H6" s="19" t="s">
        <v>255</v>
      </c>
      <c r="I6" s="19" t="s">
        <v>287</v>
      </c>
      <c r="J6" s="20" t="s">
        <v>285</v>
      </c>
      <c r="K6" s="72"/>
      <c r="L6" s="73"/>
      <c r="M6" s="72"/>
      <c r="N6" s="79" t="s">
        <v>288</v>
      </c>
      <c r="O6" s="80" t="s">
        <v>289</v>
      </c>
      <c r="P6" s="80" t="s">
        <v>255</v>
      </c>
      <c r="Q6" s="81" t="s">
        <v>290</v>
      </c>
      <c r="R6" s="38" t="s">
        <v>280</v>
      </c>
      <c r="S6" s="81" t="s">
        <v>284</v>
      </c>
      <c r="T6" s="82" t="s">
        <v>291</v>
      </c>
      <c r="U6" s="72"/>
      <c r="V6" s="174"/>
      <c r="W6" s="174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</row>
    <row r="7" spans="1:52" ht="32.25" customHeight="1" x14ac:dyDescent="0.3">
      <c r="A7" s="72"/>
      <c r="B7" s="142" t="s">
        <v>49</v>
      </c>
      <c r="C7" s="143" t="str">
        <f>S7</f>
        <v/>
      </c>
      <c r="D7" s="86">
        <f>IF(C7="sim",25,0)</f>
        <v>0</v>
      </c>
      <c r="E7" s="72"/>
      <c r="F7" s="87" t="s">
        <v>47</v>
      </c>
      <c r="G7" s="88">
        <v>2</v>
      </c>
      <c r="H7" s="29">
        <f>P7</f>
        <v>0</v>
      </c>
      <c r="I7" s="88">
        <f t="shared" ref="I7:I12" si="0">H7*G7</f>
        <v>0</v>
      </c>
      <c r="J7" s="25"/>
      <c r="K7" s="72"/>
      <c r="L7" s="73"/>
      <c r="M7" s="72"/>
      <c r="N7" s="90" t="s">
        <v>98</v>
      </c>
      <c r="O7" s="91" t="str" cm="1">
        <f t="array" ref="O7">_xlfn.TEXTJOIN(", ", TRUE, _xlfn._xlws.FILTER(Forms!$F:$F, (Forms!$G:$G=$C$2) * (Forms!$H:$H=N7), "Sem avaliador"))</f>
        <v>Sem avaliador</v>
      </c>
      <c r="P7" s="34" cm="1">
        <f t="array" ref="P7">IFERROR(AVERAGE(_xlfn._xlws.FILTER(IF(ROW(A1)=1, Forms!$U:$U, IF(ROW(A1)=2, Forms!$M:$M, IF(ROW(A1)=3, Forms!$O:$O, IF(ROW(A1)=4, Forms!$Q:$Q, IF(ROW(A1)=5, Forms!$K:$K, Forms!$I:$I))))), (Forms!$G:$G=$C$2) * (Forms!$H:$H=N7), 0)), "")</f>
        <v>0</v>
      </c>
      <c r="Q7" s="92" t="str" cm="1">
        <f t="array" ref="Q7">IFERROR(_xlfn.TEXTJOIN("; ", 1, _xlfn._xlws.FILTER(IF(ROW(A1)=1, Forms!$V:$V, IF(ROW(A1)=2, Forms!$N:$N, IF(ROW(A1)=3, Forms!$P:$P, IF(ROW(A1)=4, Forms!$R:$R, IF(ROW(A1)=5, Forms!$L:$L, Forms!$J:$J))))), (Forms!$G:$G=$C$2) * (Forms!$H:$H=N7))), "")</f>
        <v/>
      </c>
      <c r="R7" s="93" t="s">
        <v>49</v>
      </c>
      <c r="S7" s="94" t="str" cm="1">
        <f t="array" ref="S7">IFERROR(IF(ROW(A1)&gt;4, "", _xlfn.TEXTJOIN("; ", 1, _xlfn._xlws.FILTER(IF(ROW(A1)=1, Forms!$W:$W, IF(ROW(A1)=2, Forms!$Y:$Y, IF(ROW(A1)=3, Forms!$AA:$AA, Forms!$S:$S))), (Forms!$G:$G=$C$2) * (TRIM(Forms!$H:$H)=IF(ROW(A1)=4, "Ferramentas e case", "Cenografia"))))), "")</f>
        <v/>
      </c>
      <c r="T7" s="95" t="str" cm="1">
        <f t="array" ref="T7">IFERROR(IF(ROW(A1)&gt;4, "", _xlfn.TEXTJOIN("; ", 1, _xlfn._xlws.FILTER(IF(ROW(A1)=1, Forms!$X:$X, IF(ROW(A1)=2, Forms!$Z:$Z, IF(ROW(A1)=3, Forms!$AB:$AB, Forms!$T:$T))), (Forms!$G:$G=$C$2) * (Forms!$H:$H=IF(ROW(A1)=4, $N$12, $N$7))))), "")</f>
        <v/>
      </c>
      <c r="U7" s="72"/>
      <c r="V7" s="96"/>
      <c r="W7" s="97">
        <f t="shared" ref="W7:W12" si="1">$P$26</f>
        <v>0</v>
      </c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</row>
    <row r="8" spans="1:52" ht="32.25" customHeight="1" x14ac:dyDescent="0.3">
      <c r="A8" s="72"/>
      <c r="B8" s="142" t="s">
        <v>51</v>
      </c>
      <c r="C8" s="143" t="str">
        <f>S8</f>
        <v/>
      </c>
      <c r="D8" s="86">
        <f t="shared" ref="D8:D10" si="2">IF(C8="sim",25,0)</f>
        <v>0</v>
      </c>
      <c r="E8" s="72"/>
      <c r="F8" s="101" t="s">
        <v>292</v>
      </c>
      <c r="G8" s="102">
        <v>3</v>
      </c>
      <c r="H8" s="30">
        <f>P8</f>
        <v>0</v>
      </c>
      <c r="I8" s="102">
        <f t="shared" si="0"/>
        <v>0</v>
      </c>
      <c r="J8" s="26"/>
      <c r="K8" s="72"/>
      <c r="L8" s="73"/>
      <c r="M8" s="72"/>
      <c r="N8" s="104" t="s">
        <v>80</v>
      </c>
      <c r="O8" s="105" t="str" cm="1">
        <f t="array" ref="O8">_xlfn.TEXTJOIN(", ", TRUE, _xlfn._xlws.FILTER(Forms!$F:$F, (Forms!$G:$G=$C$2) * (Forms!$H:$H=N8), "Sem avaliador"))</f>
        <v>Sem avaliador</v>
      </c>
      <c r="P8" s="8" cm="1">
        <f t="array" ref="P8">IFERROR(AVERAGE(_xlfn._xlws.FILTER(IF(ROW(A2)=1, Forms!$U:$U, IF(ROW(A2)=2, Forms!$M:$M, IF(ROW(A2)=3, Forms!$O:$O, IF(ROW(A2)=4, Forms!$Q:$Q, IF(ROW(A2)=5, Forms!$K:$K, Forms!$I:$I))))), (Forms!$G:$G=$C$2) * (Forms!$H:$H=N8), 0)), "")</f>
        <v>0</v>
      </c>
      <c r="Q8" s="106" t="str" cm="1">
        <f t="array" ref="Q8">IFERROR(_xlfn.TEXTJOIN("; ", 1, _xlfn._xlws.FILTER(IF(ROW(A2)=1, Forms!$V:$V, IF(ROW(A2)=2, Forms!$N:$N, IF(ROW(A2)=3, Forms!$P:$P, IF(ROW(A2)=4, Forms!$R:$R, IF(ROW(A2)=5, Forms!$L:$L, Forms!$J:$J))))), (Forms!$G:$G=$C$2) * (Forms!$H:$H=N8))), "")</f>
        <v/>
      </c>
      <c r="R8" s="107" t="s">
        <v>51</v>
      </c>
      <c r="S8" s="108" t="str" cm="1">
        <f t="array" ref="S8">IFERROR(IF(ROW(A2)&gt;4, "", _xlfn.TEXTJOIN("; ", 1, _xlfn._xlws.FILTER(IF(ROW(A2)=1, Forms!$W:$W, IF(ROW(A2)=2, Forms!$Y:$Y, IF(ROW(A2)=3, Forms!$AA:$AA, Forms!$S:$S))), (Forms!$G:$G=$C$2) * (TRIM(Forms!$H:$H)=IF(ROW(A2)=4, "Ferramentas e case", "Cenografia"))))), "")</f>
        <v/>
      </c>
      <c r="T8" s="109" t="str" cm="1">
        <f t="array" ref="T8">IFERROR(IF(ROW(A2)&gt;4, "", _xlfn.TEXTJOIN("; ", 1, _xlfn._xlws.FILTER(IF(ROW(A2)=1, Forms!$X:$X, IF(ROW(A2)=2, Forms!$Z:$Z, IF(ROW(A2)=3, Forms!$AB:$AB, Forms!$T:$T))), (Forms!$G:$G=$C$2) * (Forms!$H:$H=IF(ROW(A2)=4, $N$12, $N$7))))), "")</f>
        <v/>
      </c>
      <c r="U8" s="72"/>
      <c r="V8" s="96"/>
      <c r="W8" s="97">
        <f t="shared" si="1"/>
        <v>0</v>
      </c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</row>
    <row r="9" spans="1:52" ht="32.25" customHeight="1" x14ac:dyDescent="0.3">
      <c r="A9" s="72"/>
      <c r="B9" s="142" t="s">
        <v>53</v>
      </c>
      <c r="C9" s="143" t="str">
        <f>S9</f>
        <v/>
      </c>
      <c r="D9" s="86">
        <f t="shared" si="2"/>
        <v>0</v>
      </c>
      <c r="E9" s="72"/>
      <c r="F9" s="101" t="s">
        <v>293</v>
      </c>
      <c r="G9" s="102">
        <v>3</v>
      </c>
      <c r="H9" s="30">
        <f t="shared" ref="H9:H11" si="3">P9</f>
        <v>0</v>
      </c>
      <c r="I9" s="102">
        <f t="shared" si="0"/>
        <v>0</v>
      </c>
      <c r="J9" s="26"/>
      <c r="K9" s="72"/>
      <c r="L9" s="73"/>
      <c r="M9" s="72"/>
      <c r="N9" s="104" t="s">
        <v>128</v>
      </c>
      <c r="O9" s="105" t="str" cm="1">
        <f t="array" ref="O9">_xlfn.TEXTJOIN(", ", TRUE, _xlfn._xlws.FILTER(Forms!$F:$F, (Forms!$G:$G=$C$2) * (Forms!$H:$H=N9), "Sem avaliador"))</f>
        <v>Sem avaliador</v>
      </c>
      <c r="P9" s="8" cm="1">
        <f t="array" ref="P9">IFERROR(AVERAGE(_xlfn._xlws.FILTER(IF(ROW(A3)=1, Forms!$U:$U, IF(ROW(A3)=2, Forms!$M:$M, IF(ROW(A3)=3, Forms!$O:$O, IF(ROW(A3)=4, Forms!$Q:$Q, IF(ROW(A3)=5, Forms!$K:$K, Forms!$I:$I))))), (Forms!$G:$G=$C$2) * (Forms!$H:$H=N9), 0)), "")</f>
        <v>0</v>
      </c>
      <c r="Q9" s="106" t="str" cm="1">
        <f t="array" ref="Q9">IFERROR(_xlfn.TEXTJOIN("; ", 1, _xlfn._xlws.FILTER(IF(ROW(A3)=1, Forms!$V:$V, IF(ROW(A3)=2, Forms!$N:$N, IF(ROW(A3)=3, Forms!$P:$P, IF(ROW(A3)=4, Forms!$R:$R, IF(ROW(A3)=5, Forms!$L:$L, Forms!$J:$J))))), (Forms!$G:$G=$C$2) * (Forms!$H:$H=N9))), "")</f>
        <v/>
      </c>
      <c r="R9" s="107" t="s">
        <v>53</v>
      </c>
      <c r="S9" s="108" t="str" cm="1">
        <f t="array" ref="S9">IFERROR(IF(ROW(A3)&gt;4, "", _xlfn.TEXTJOIN("; ", 1, _xlfn._xlws.FILTER(IF(ROW(A3)=1, Forms!$W:$W, IF(ROW(A3)=2, Forms!$Y:$Y, IF(ROW(A3)=3, Forms!$AA:$AA, Forms!$S:$S))), (Forms!$G:$G=$C$2) * (TRIM(Forms!$H:$H)=IF(ROW(A3)=4, "Ferramentas e case", "Cenografia"))))), "")</f>
        <v/>
      </c>
      <c r="T9" s="109" t="str" cm="1">
        <f t="array" ref="T9">IFERROR(IF(ROW(A3)&gt;4, "", _xlfn.TEXTJOIN("; ", 1, _xlfn._xlws.FILTER(IF(ROW(A3)=1, Forms!$X:$X, IF(ROW(A3)=2, Forms!$Z:$Z, IF(ROW(A3)=3, Forms!$AB:$AB, Forms!$T:$T))), (Forms!$G:$G=$C$2) * (Forms!$H:$H=IF(ROW(A3)=4, $N$12, $N$7))))), "")</f>
        <v/>
      </c>
      <c r="U9" s="113"/>
      <c r="V9" s="96"/>
      <c r="W9" s="97">
        <f t="shared" si="1"/>
        <v>0</v>
      </c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</row>
    <row r="10" spans="1:52" ht="32.25" customHeight="1" x14ac:dyDescent="0.3">
      <c r="A10" s="72"/>
      <c r="B10" s="144" t="s">
        <v>45</v>
      </c>
      <c r="C10" s="145" t="str">
        <f>S10</f>
        <v/>
      </c>
      <c r="D10" s="86">
        <f t="shared" si="2"/>
        <v>0</v>
      </c>
      <c r="E10" s="72"/>
      <c r="F10" s="101" t="s">
        <v>43</v>
      </c>
      <c r="G10" s="102">
        <v>2</v>
      </c>
      <c r="H10" s="30">
        <f t="shared" si="3"/>
        <v>0</v>
      </c>
      <c r="I10" s="102">
        <f t="shared" si="0"/>
        <v>0</v>
      </c>
      <c r="J10" s="26"/>
      <c r="K10" s="72"/>
      <c r="L10" s="73"/>
      <c r="M10" s="72"/>
      <c r="N10" s="104" t="s">
        <v>77</v>
      </c>
      <c r="O10" s="105" t="str" cm="1">
        <f t="array" ref="O10">_xlfn.TEXTJOIN(", ", TRUE, _xlfn._xlws.FILTER(Forms!$F:$F, (Forms!$G:$G=$C$2) * (Forms!$H:$H=N10), "Sem avaliador"))</f>
        <v>Sem avaliador</v>
      </c>
      <c r="P10" s="8" cm="1">
        <f t="array" ref="P10">IFERROR(AVERAGE(_xlfn._xlws.FILTER(IF(ROW(A4)=1, Forms!$U:$U, IF(ROW(A4)=2, Forms!$M:$M, IF(ROW(A4)=3, Forms!$O:$O, IF(ROW(A4)=4, Forms!$Q:$Q, IF(ROW(A4)=5, Forms!$K:$K, Forms!$I:$I))))), (Forms!$G:$G=$C$2) * (Forms!$H:$H=N10), 0)), "")</f>
        <v>0</v>
      </c>
      <c r="Q10" s="106" t="str" cm="1">
        <f t="array" ref="Q10">IFERROR(_xlfn.TEXTJOIN("; ", 1, _xlfn._xlws.FILTER(IF(ROW(A4)=1, Forms!$V:$V, IF(ROW(A4)=2, Forms!$N:$N, IF(ROW(A4)=3, Forms!$P:$P, IF(ROW(A4)=4, Forms!$R:$R, IF(ROW(A4)=5, Forms!$L:$L, Forms!$J:$J))))), (Forms!$G:$G=$C$2) * (Forms!$H:$H=N10))), "")</f>
        <v/>
      </c>
      <c r="R10" s="114" t="s">
        <v>45</v>
      </c>
      <c r="S10" s="108" t="str" cm="1">
        <f t="array" ref="S10">IFERROR(_xlfn.TEXTJOIN("; ", 1, _xlfn._xlws.FILTER(Forms!$S:$S, (Forms!$G:$G=$C$2) * (Forms!$H:$H="Ferramentas e Case (Cenografia)"))), "")</f>
        <v/>
      </c>
      <c r="T10" s="115" t="str" cm="1">
        <f t="array" ref="T10">IFERROR(_xlfn.TEXTJOIN("; ", 1, _xlfn._xlws.FILTER(Forms!$T:$T, (Forms!$G:$G=$C$2) * (Forms!$H:$H="Ferramentas e Case (Cenografia)"))), "")</f>
        <v/>
      </c>
      <c r="U10" s="11"/>
      <c r="V10" s="96"/>
      <c r="W10" s="97">
        <f t="shared" si="1"/>
        <v>0</v>
      </c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ht="32.25" customHeight="1" x14ac:dyDescent="0.3">
      <c r="A11" s="72"/>
      <c r="B11" s="15" t="s">
        <v>280</v>
      </c>
      <c r="C11" s="16" t="str" cm="1">
        <f t="array" ref="C11">_xlfn.IFS(D11=100, "100%", D11=75, "-10 pontos", D11=50, "-20 pontos", D11=25, "-30 pontos", D11=0, "-40 pontos")</f>
        <v>-40 pontos</v>
      </c>
      <c r="D11" s="9">
        <f>SUM(D7:D10)</f>
        <v>0</v>
      </c>
      <c r="E11" s="72"/>
      <c r="F11" s="101" t="s">
        <v>294</v>
      </c>
      <c r="G11" s="102">
        <v>2</v>
      </c>
      <c r="H11" s="30">
        <f t="shared" si="3"/>
        <v>0</v>
      </c>
      <c r="I11" s="102">
        <f t="shared" si="0"/>
        <v>0</v>
      </c>
      <c r="J11" s="26"/>
      <c r="K11" s="72"/>
      <c r="L11" s="73"/>
      <c r="M11" s="72"/>
      <c r="N11" s="104" t="s">
        <v>211</v>
      </c>
      <c r="O11" s="105" t="str" cm="1">
        <f t="array" ref="O11">_xlfn.TEXTJOIN(", ", TRUE, _xlfn._xlws.FILTER(Forms!$F:$F, (Forms!$G:$G=$C$2) * (Forms!$H:$H=N11), "Sem avaliador"))</f>
        <v>Sem avaliador</v>
      </c>
      <c r="P11" s="8" cm="1">
        <f t="array" ref="P11">IFERROR(AVERAGE(_xlfn._xlws.FILTER(IF(ROW(A5)=1, Forms!$U:$U, IF(ROW(A5)=2, Forms!$M:$M, IF(ROW(A5)=3, Forms!$O:$O, IF(ROW(A5)=4, Forms!$Q:$Q, IF(ROW(A5)=5, Forms!$K:$K, Forms!$I:$I))))), (Forms!$G:$G=$C$2) * (Forms!$H:$H=N11), 0)), "")</f>
        <v>0</v>
      </c>
      <c r="Q11" s="106" t="str" cm="1">
        <f t="array" ref="Q11">IFERROR(_xlfn.TEXTJOIN("; ", 1, _xlfn._xlws.FILTER(IF(ROW(A5)=1, Forms!$V:$V, IF(ROW(A5)=2, Forms!$N:$N, IF(ROW(A5)=3, Forms!$P:$P, IF(ROW(A5)=4, Forms!$R:$R, IF(ROW(A5)=5, Forms!$L:$L, Forms!$J:$J))))), (Forms!$G:$G=$C$2) * (Forms!$H:$H=N11))), "")</f>
        <v/>
      </c>
      <c r="R11" s="39" t="s">
        <v>295</v>
      </c>
      <c r="S11" s="118" t="str" cm="1">
        <f t="array" ref="S11">IFERROR(_xlfn.TEXTJOIN("; ", 1, _xlfn._xlws.FILTER(Forms!$S:$S, (Forms!$G:$G=$C$2) * (Forms!$H:$H="Ferramentas e Case (Cenografia)"))), "")</f>
        <v/>
      </c>
      <c r="T11" s="119" t="str" cm="1">
        <f t="array" ref="T11">IFERROR(_xlfn.TEXTJOIN("; ", 1, _xlfn._xlws.FILTER(Forms!$T:$T, (Forms!$G:$G=$C$2) * (Forms!$H:$H="Ferramentas e Case (Cenografia)"))), "")</f>
        <v/>
      </c>
      <c r="U11" s="12"/>
      <c r="V11" s="96"/>
      <c r="W11" s="97">
        <f t="shared" si="1"/>
        <v>0</v>
      </c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ht="32.25" customHeight="1" x14ac:dyDescent="0.3">
      <c r="A12" s="72"/>
      <c r="B12" s="72"/>
      <c r="C12" s="72"/>
      <c r="D12" s="72"/>
      <c r="E12" s="72"/>
      <c r="F12" s="122" t="s">
        <v>35</v>
      </c>
      <c r="G12" s="123">
        <v>2</v>
      </c>
      <c r="H12" s="31">
        <f>P12</f>
        <v>0</v>
      </c>
      <c r="I12" s="123">
        <f t="shared" si="0"/>
        <v>0</v>
      </c>
      <c r="J12" s="27"/>
      <c r="K12" s="72"/>
      <c r="L12" s="73"/>
      <c r="M12" s="72"/>
      <c r="N12" s="125" t="s">
        <v>211</v>
      </c>
      <c r="O12" s="126" t="str" cm="1">
        <f t="array" ref="O12">_xlfn.TEXTJOIN(", ", TRUE, _xlfn._xlws.FILTER(Forms!$F:$F, (Forms!$G:$G=$C$2) * (Forms!$H:$H=N12), "Sem avaliador"))</f>
        <v>Sem avaliador</v>
      </c>
      <c r="P12" s="35" cm="1">
        <f t="array" ref="P12">IFERROR(AVERAGE(_xlfn._xlws.FILTER(IF(ROW(A6)=1, Forms!$U:$U, IF(ROW(A6)=2, Forms!$M:$M, IF(ROW(A6)=3, Forms!$O:$O, IF(ROW(A6)=4, Forms!$Q:$Q, IF(ROW(A6)=5, Forms!$K:$K, Forms!$I:$I))))), (Forms!$G:$G=$C$2) * (Forms!$H:$H=N12), 0)), "")</f>
        <v>0</v>
      </c>
      <c r="Q12" s="127" t="str" cm="1">
        <f t="array" ref="Q12">IFERROR(_xlfn.TEXTJOIN("; ", 1, _xlfn._xlws.FILTER(IF(ROW(A6)=1, Forms!$V:$V, IF(ROW(A6)=2, Forms!$N:$N, IF(ROW(A6)=3, Forms!$P:$P, IF(ROW(A6)=4, Forms!$R:$R, IF(ROW(A6)=5, Forms!$L:$L, Forms!$J:$J))))), (Forms!$G:$G=$C$2) * (Forms!$H:$H=N12))), "")</f>
        <v/>
      </c>
      <c r="R12" s="40" t="s">
        <v>296</v>
      </c>
      <c r="S12" s="128"/>
      <c r="T12" s="129"/>
      <c r="U12" s="76"/>
      <c r="V12" s="96"/>
      <c r="W12" s="97">
        <f t="shared" si="1"/>
        <v>0</v>
      </c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ht="21.75" customHeight="1" x14ac:dyDescent="0.3">
      <c r="A13" s="72"/>
      <c r="B13" s="72"/>
      <c r="C13" s="72"/>
      <c r="D13" s="72"/>
      <c r="E13" s="72"/>
      <c r="F13" s="176" t="s">
        <v>281</v>
      </c>
      <c r="G13" s="177"/>
      <c r="H13" s="17">
        <f>SUM(I7:I12)/SUM(G7:G12)*10</f>
        <v>0</v>
      </c>
      <c r="I13" s="72"/>
      <c r="J13" s="76"/>
      <c r="K13" s="130"/>
      <c r="L13" s="131"/>
      <c r="M13" s="130"/>
      <c r="N13" s="132"/>
      <c r="O13" s="132"/>
      <c r="P13" s="132"/>
      <c r="Q13" s="74"/>
      <c r="R13" s="74"/>
      <c r="S13" s="72"/>
      <c r="T13" s="75"/>
      <c r="U13" s="72"/>
      <c r="V13" s="74"/>
      <c r="W13" s="74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ht="8.25" customHeight="1" x14ac:dyDescent="0.3">
      <c r="A14" s="72"/>
      <c r="B14" s="72"/>
      <c r="C14" s="72"/>
      <c r="D14" s="72"/>
      <c r="E14" s="72"/>
      <c r="F14" s="72"/>
      <c r="G14" s="72"/>
      <c r="H14" s="76"/>
      <c r="I14" s="76"/>
      <c r="J14" s="76"/>
      <c r="K14" s="130"/>
      <c r="L14" s="131"/>
      <c r="M14" s="130"/>
      <c r="N14" s="72"/>
      <c r="O14" s="72"/>
      <c r="P14" s="72"/>
      <c r="Q14" s="72"/>
      <c r="R14" s="72"/>
      <c r="S14" s="72"/>
      <c r="T14" s="75"/>
      <c r="U14" s="72"/>
      <c r="V14" s="74"/>
      <c r="W14" s="74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ht="17.25" customHeight="1" x14ac:dyDescent="0.3">
      <c r="A15" s="72"/>
      <c r="B15" s="72"/>
      <c r="C15" s="72"/>
      <c r="D15" s="36"/>
      <c r="E15" s="72"/>
      <c r="F15" s="200" t="s">
        <v>297</v>
      </c>
      <c r="G15" s="201"/>
      <c r="H15" s="202"/>
      <c r="I15" s="72"/>
      <c r="J15" s="72"/>
      <c r="K15" s="76"/>
      <c r="L15" s="134"/>
      <c r="M15" s="76"/>
      <c r="N15" s="72"/>
      <c r="O15" s="72"/>
      <c r="P15" s="72"/>
      <c r="Q15" s="72"/>
      <c r="R15" s="72"/>
      <c r="S15" s="72"/>
      <c r="T15" s="75"/>
      <c r="U15" s="76"/>
      <c r="V15" s="76"/>
      <c r="W15" s="113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ht="20.25" customHeight="1" x14ac:dyDescent="0.3">
      <c r="A16" s="72"/>
      <c r="B16" s="72"/>
      <c r="C16" s="72"/>
      <c r="D16" s="37"/>
      <c r="E16" s="72"/>
      <c r="F16" s="203">
        <f>H13+((D11-100)/2.5)</f>
        <v>-40</v>
      </c>
      <c r="G16" s="204"/>
      <c r="H16" s="205"/>
      <c r="I16" s="72"/>
      <c r="J16" s="72"/>
      <c r="K16" s="76"/>
      <c r="L16" s="134"/>
      <c r="M16" s="76"/>
      <c r="N16" s="72"/>
      <c r="O16" s="72"/>
      <c r="P16" s="72"/>
      <c r="Q16" s="72"/>
      <c r="R16" s="72"/>
      <c r="S16" s="72"/>
      <c r="T16" s="75"/>
      <c r="U16" s="76"/>
      <c r="V16" s="76"/>
      <c r="W16" s="113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</row>
    <row r="17" spans="1:52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  <c r="M17" s="72"/>
      <c r="N17" s="72"/>
      <c r="O17" s="72"/>
      <c r="P17" s="72"/>
      <c r="Q17" s="113"/>
      <c r="R17" s="113"/>
      <c r="S17" s="113"/>
      <c r="T17" s="130"/>
      <c r="U17" s="76"/>
      <c r="V17" s="76"/>
      <c r="W17" s="113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ht="20.25" customHeight="1" x14ac:dyDescent="0.3">
      <c r="A18" s="72"/>
      <c r="B18" s="72"/>
      <c r="C18" s="72"/>
      <c r="D18" s="72"/>
      <c r="E18" s="72"/>
      <c r="F18" s="72"/>
      <c r="G18" s="72"/>
      <c r="H18" s="72"/>
      <c r="I18" s="72"/>
      <c r="J18" s="74"/>
      <c r="K18" s="72"/>
      <c r="L18" s="73"/>
      <c r="M18" s="72"/>
      <c r="N18" s="72"/>
      <c r="O18" s="72"/>
      <c r="P18" s="72"/>
      <c r="Q18" s="113"/>
      <c r="R18" s="113"/>
      <c r="S18" s="113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</row>
    <row r="19" spans="1:52" s="7" customFormat="1" ht="20.25" customHeight="1" x14ac:dyDescent="0.3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135"/>
      <c r="M19" s="75"/>
      <c r="N19" s="75"/>
      <c r="O19" s="75"/>
      <c r="P19" s="75"/>
      <c r="Q19" s="13"/>
      <c r="R19" s="13"/>
      <c r="S19" s="13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</row>
    <row r="20" spans="1:52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3"/>
      <c r="M20" s="72"/>
      <c r="N20" s="13"/>
      <c r="O20" s="72"/>
      <c r="P20" s="72"/>
      <c r="Q20" s="136"/>
      <c r="R20" s="136"/>
      <c r="S20" s="136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137"/>
      <c r="AZ20" s="72"/>
    </row>
    <row r="21" spans="1:52" ht="20.25" customHeight="1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30"/>
      <c r="K21" s="130"/>
      <c r="L21" s="131"/>
      <c r="M21" s="130"/>
      <c r="N21" s="13"/>
      <c r="O21" s="72"/>
      <c r="P21" s="72"/>
      <c r="Q21" s="136"/>
      <c r="R21" s="136"/>
      <c r="S21" s="136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</row>
    <row r="22" spans="1:52" x14ac:dyDescent="0.3">
      <c r="A22" s="72"/>
      <c r="B22" s="72"/>
      <c r="C22" s="72"/>
      <c r="D22" s="72"/>
      <c r="E22" s="72"/>
      <c r="F22" s="72"/>
      <c r="G22" s="72"/>
      <c r="H22" s="72"/>
      <c r="I22" s="113"/>
      <c r="J22" s="72"/>
      <c r="K22" s="130"/>
      <c r="L22" s="131"/>
      <c r="M22" s="130"/>
      <c r="N22" s="13"/>
      <c r="O22" s="72"/>
      <c r="P22" s="72"/>
      <c r="Q22" s="138"/>
      <c r="R22" s="138"/>
      <c r="S22" s="138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</row>
    <row r="23" spans="1:52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130"/>
      <c r="L23" s="131"/>
      <c r="M23" s="130"/>
      <c r="N23" s="72"/>
      <c r="O23" s="13"/>
      <c r="P23" s="113"/>
      <c r="Q23" s="136"/>
      <c r="R23" s="136"/>
      <c r="S23" s="136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</row>
    <row r="24" spans="1:52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1"/>
      <c r="M24" s="130"/>
      <c r="N24" s="13"/>
      <c r="O24" s="13"/>
      <c r="P24" s="113"/>
      <c r="Q24" s="136"/>
      <c r="R24" s="136"/>
      <c r="S24" s="136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</row>
    <row r="25" spans="1:52" x14ac:dyDescent="0.3">
      <c r="A25" s="72"/>
      <c r="B25" s="72"/>
      <c r="C25" s="72"/>
      <c r="D25" s="72"/>
      <c r="E25" s="72"/>
      <c r="F25" s="72"/>
      <c r="G25" s="72"/>
      <c r="H25" s="72"/>
      <c r="I25" s="72"/>
      <c r="J25" s="130"/>
      <c r="K25" s="130"/>
      <c r="L25" s="131"/>
      <c r="M25" s="130"/>
      <c r="N25" s="13"/>
      <c r="O25" s="13"/>
      <c r="P25" s="113"/>
      <c r="Q25" s="136"/>
      <c r="R25" s="136"/>
      <c r="S25" s="136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139"/>
      <c r="AZ25" s="72"/>
    </row>
    <row r="26" spans="1:52" x14ac:dyDescent="0.3">
      <c r="A26" s="72"/>
      <c r="B26" s="72"/>
      <c r="C26" s="72"/>
      <c r="D26" s="72"/>
      <c r="E26" s="72"/>
      <c r="F26" s="72"/>
      <c r="G26" s="72"/>
      <c r="H26" s="72"/>
      <c r="I26" s="72"/>
      <c r="J26" s="130"/>
      <c r="K26" s="72"/>
      <c r="L26" s="73"/>
      <c r="M26" s="72"/>
      <c r="N26" s="72"/>
      <c r="O26" s="72"/>
      <c r="P26" s="113"/>
      <c r="Q26" s="140"/>
      <c r="R26" s="140"/>
      <c r="S26" s="140"/>
      <c r="T26" s="140"/>
      <c r="U26" s="140"/>
      <c r="V26" s="140"/>
      <c r="W26" s="140"/>
      <c r="X26" s="140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</row>
    <row r="27" spans="1:52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6"/>
      <c r="K27" s="72"/>
      <c r="L27" s="73"/>
      <c r="M27" s="72"/>
      <c r="N27" s="72"/>
      <c r="O27" s="72"/>
      <c r="P27" s="113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</row>
    <row r="28" spans="1:52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3"/>
      <c r="M28" s="72"/>
      <c r="N28" s="72"/>
      <c r="O28" s="72"/>
      <c r="P28" s="72"/>
      <c r="Q28" s="72"/>
      <c r="R28" s="72"/>
      <c r="S28" s="72"/>
      <c r="T28" s="72"/>
      <c r="U28" s="72"/>
      <c r="V28" s="113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</row>
    <row r="29" spans="1:52" ht="15" customHeight="1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113"/>
      <c r="L29" s="141"/>
      <c r="M29" s="113"/>
      <c r="N29" s="72"/>
      <c r="O29" s="72"/>
      <c r="P29" s="72"/>
      <c r="Q29" s="72"/>
      <c r="R29" s="72"/>
      <c r="S29" s="72"/>
      <c r="T29" s="72"/>
      <c r="U29" s="113"/>
      <c r="V29" s="113"/>
      <c r="W29" s="74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</row>
    <row r="30" spans="1:52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3"/>
      <c r="M30" s="72"/>
      <c r="N30" s="72"/>
      <c r="O30" s="72"/>
      <c r="P30" s="72"/>
      <c r="Q30" s="74"/>
      <c r="R30" s="74"/>
      <c r="S30" s="74"/>
      <c r="T30" s="72"/>
      <c r="U30" s="72"/>
      <c r="V30" s="74"/>
      <c r="W30" s="74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</row>
    <row r="31" spans="1:52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3"/>
      <c r="M31" s="72"/>
      <c r="N31" s="72"/>
      <c r="O31" s="72"/>
      <c r="P31" s="72"/>
      <c r="Q31" s="74"/>
      <c r="R31" s="74"/>
      <c r="S31" s="74"/>
      <c r="T31" s="72"/>
      <c r="U31" s="72"/>
      <c r="V31" s="72"/>
      <c r="W31" s="74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</row>
    <row r="32" spans="1:52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3"/>
      <c r="M32" s="72"/>
      <c r="N32" s="72" t="s">
        <v>298</v>
      </c>
      <c r="O32" s="72"/>
      <c r="P32" s="72"/>
      <c r="Q32" s="74"/>
      <c r="R32" s="74"/>
      <c r="S32" s="74"/>
      <c r="T32" s="75"/>
      <c r="U32" s="76"/>
      <c r="V32" s="72"/>
      <c r="W32" s="74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</row>
    <row r="33" spans="1:52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72"/>
      <c r="N33" s="72"/>
      <c r="O33" s="72"/>
      <c r="P33" s="72"/>
      <c r="Q33" s="74"/>
      <c r="R33" s="74"/>
      <c r="S33" s="74"/>
      <c r="T33" s="75"/>
      <c r="U33" s="76"/>
      <c r="V33" s="72"/>
      <c r="W33" s="74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</row>
    <row r="34" spans="1:52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3"/>
      <c r="M34" s="72"/>
      <c r="N34" s="72"/>
      <c r="O34" s="72"/>
      <c r="P34" s="72"/>
      <c r="Q34" s="72"/>
      <c r="R34" s="72"/>
      <c r="S34" s="72"/>
      <c r="T34" s="75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</row>
  </sheetData>
  <mergeCells count="10">
    <mergeCell ref="C2:H2"/>
    <mergeCell ref="V5:W6"/>
    <mergeCell ref="F13:G13"/>
    <mergeCell ref="F5:J5"/>
    <mergeCell ref="B5:C5"/>
    <mergeCell ref="F15:H15"/>
    <mergeCell ref="F16:H16"/>
    <mergeCell ref="B4:C4"/>
    <mergeCell ref="F4:J4"/>
    <mergeCell ref="N5:T5"/>
  </mergeCells>
  <conditionalFormatting sqref="G7:H12">
    <cfRule type="cellIs" dxfId="49" priority="1" operator="equal">
      <formula>0</formula>
    </cfRule>
  </conditionalFormatting>
  <conditionalFormatting sqref="P7:P12">
    <cfRule type="cellIs" dxfId="48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CEE5-F8CE-45A0-B610-856CC1679B7F}">
  <sheetPr>
    <tabColor rgb="FF92D050"/>
  </sheetPr>
  <dimension ref="A1:H24"/>
  <sheetViews>
    <sheetView workbookViewId="0">
      <selection activeCell="H11" sqref="H11"/>
    </sheetView>
  </sheetViews>
  <sheetFormatPr defaultRowHeight="14.4" x14ac:dyDescent="0.3"/>
  <cols>
    <col min="1" max="1" width="34.33203125" bestFit="1" customWidth="1"/>
    <col min="2" max="2" width="11.33203125" customWidth="1"/>
    <col min="3" max="3" width="11" customWidth="1"/>
    <col min="4" max="4" width="11.109375" customWidth="1"/>
    <col min="5" max="5" width="10.33203125" customWidth="1"/>
    <col min="6" max="7" width="10.88671875" customWidth="1"/>
    <col min="8" max="8" width="14.6640625" customWidth="1"/>
    <col min="9" max="11" width="3.33203125" bestFit="1" customWidth="1"/>
    <col min="12" max="12" width="7.109375" bestFit="1" customWidth="1"/>
    <col min="13" max="13" width="11" bestFit="1" customWidth="1"/>
  </cols>
  <sheetData>
    <row r="1" spans="1:8" x14ac:dyDescent="0.3">
      <c r="A1" s="59" t="s">
        <v>257</v>
      </c>
      <c r="B1" t="s">
        <v>300</v>
      </c>
    </row>
    <row r="2" spans="1:8" x14ac:dyDescent="0.3">
      <c r="A2" s="59" t="s">
        <v>256</v>
      </c>
      <c r="B2" t="s">
        <v>300</v>
      </c>
    </row>
    <row r="4" spans="1:8" s="66" customFormat="1" ht="28.8" x14ac:dyDescent="0.3">
      <c r="A4" s="65" t="s">
        <v>254</v>
      </c>
      <c r="B4" s="66" t="s">
        <v>301</v>
      </c>
      <c r="C4" s="66" t="s">
        <v>302</v>
      </c>
      <c r="D4" s="67" t="s">
        <v>303</v>
      </c>
      <c r="E4" s="67" t="s">
        <v>304</v>
      </c>
      <c r="F4" s="67" t="s">
        <v>305</v>
      </c>
      <c r="G4" s="67" t="s">
        <v>306</v>
      </c>
      <c r="H4" s="67" t="s">
        <v>307</v>
      </c>
    </row>
    <row r="5" spans="1:8" x14ac:dyDescent="0.3">
      <c r="A5" t="s">
        <v>4</v>
      </c>
      <c r="B5" s="47">
        <v>85</v>
      </c>
      <c r="C5" s="47">
        <v>1</v>
      </c>
      <c r="D5" s="60"/>
      <c r="E5" s="60"/>
      <c r="F5" s="61">
        <f>((B5+D5)-E5)/C5</f>
        <v>85</v>
      </c>
      <c r="G5" s="60" t="str" cm="1">
        <f t="array" ref="G5">_xlfn.IFS(F5&lt;70, "Branco", F5&lt;80, "Verde", F5&lt;90, "Azul", TRUE, "Quênia")</f>
        <v>Azul</v>
      </c>
      <c r="H5" s="62" cm="1">
        <f t="array" ref="H5">_xlfn.IFS(F5&lt;70, 0, F5&lt;80, 1600, F5&lt;90, 2400, TRUE, 3200)</f>
        <v>2400</v>
      </c>
    </row>
    <row r="6" spans="1:8" x14ac:dyDescent="0.3">
      <c r="A6" t="s">
        <v>5</v>
      </c>
      <c r="B6" s="47">
        <v>78</v>
      </c>
      <c r="C6" s="47">
        <v>1</v>
      </c>
      <c r="D6" s="60"/>
      <c r="E6" s="60"/>
      <c r="F6" s="61">
        <f t="shared" ref="F6:F23" si="0">((B6+D6)-E6)/C6</f>
        <v>78</v>
      </c>
      <c r="G6" s="60" t="str" cm="1">
        <f t="array" ref="G6">_xlfn.IFS(F6&lt;70, "Branco", F6&lt;80, "Verde", F6&lt;90, "Azul", TRUE, "Quênia")</f>
        <v>Verde</v>
      </c>
      <c r="H6" s="62" cm="1">
        <f t="array" ref="H6">_xlfn.IFS(F6&lt;70, 0, F6&lt;80, 1600, F6&lt;90, 2400, TRUE, 3200)</f>
        <v>1600</v>
      </c>
    </row>
    <row r="7" spans="1:8" x14ac:dyDescent="0.3">
      <c r="A7" t="s">
        <v>7</v>
      </c>
      <c r="B7" s="47">
        <v>83</v>
      </c>
      <c r="C7" s="47">
        <v>1</v>
      </c>
      <c r="D7" s="60"/>
      <c r="E7" s="60"/>
      <c r="F7" s="61">
        <f t="shared" si="0"/>
        <v>83</v>
      </c>
      <c r="G7" s="60" t="str" cm="1">
        <f t="array" ref="G7">_xlfn.IFS(F7&lt;70, "Branco", F7&lt;80, "Verde", F7&lt;90, "Azul", TRUE, "Quênia")</f>
        <v>Azul</v>
      </c>
      <c r="H7" s="62" cm="1">
        <f t="array" ref="H7">_xlfn.IFS(F7&lt;70, 0, F7&lt;80, 1600, F7&lt;90, 2400, TRUE, 3200)</f>
        <v>2400</v>
      </c>
    </row>
    <row r="8" spans="1:8" x14ac:dyDescent="0.3">
      <c r="A8" t="s">
        <v>16</v>
      </c>
      <c r="B8" s="47">
        <v>160</v>
      </c>
      <c r="C8" s="47">
        <v>2</v>
      </c>
      <c r="D8" s="60"/>
      <c r="E8" s="60"/>
      <c r="F8" s="61">
        <f t="shared" si="0"/>
        <v>80</v>
      </c>
      <c r="G8" s="60" t="str" cm="1">
        <f t="array" ref="G8">_xlfn.IFS(F8&lt;70, "Branco", F8&lt;80, "Verde", F8&lt;90, "Azul", TRUE, "Quênia")</f>
        <v>Azul</v>
      </c>
      <c r="H8" s="62" cm="1">
        <f t="array" ref="H8">_xlfn.IFS(F8&lt;70, 0, F8&lt;80, 1600, F8&lt;90, 2400, TRUE, 3200)</f>
        <v>2400</v>
      </c>
    </row>
    <row r="9" spans="1:8" x14ac:dyDescent="0.3">
      <c r="A9" t="s">
        <v>18</v>
      </c>
      <c r="B9" s="47">
        <v>167</v>
      </c>
      <c r="C9" s="47">
        <v>2</v>
      </c>
      <c r="D9" s="60"/>
      <c r="E9" s="60"/>
      <c r="F9" s="61">
        <f t="shared" si="0"/>
        <v>83.5</v>
      </c>
      <c r="G9" s="60" t="str" cm="1">
        <f t="array" ref="G9">_xlfn.IFS(F9&lt;70, "Branco", F9&lt;80, "Verde", F9&lt;90, "Azul", TRUE, "Quênia")</f>
        <v>Azul</v>
      </c>
      <c r="H9" s="62" cm="1">
        <f t="array" ref="H9">_xlfn.IFS(F9&lt;70, 0, F9&lt;80, 1600, F9&lt;90, 2400, TRUE, 3200)</f>
        <v>2400</v>
      </c>
    </row>
    <row r="10" spans="1:8" x14ac:dyDescent="0.3">
      <c r="A10" t="s">
        <v>19</v>
      </c>
      <c r="B10" s="47">
        <v>171</v>
      </c>
      <c r="C10" s="47">
        <v>2</v>
      </c>
      <c r="D10" s="60"/>
      <c r="E10" s="60"/>
      <c r="F10" s="61">
        <f t="shared" si="0"/>
        <v>85.5</v>
      </c>
      <c r="G10" s="60" t="str" cm="1">
        <f t="array" ref="G10">_xlfn.IFS(F10&lt;70, "Branco", F10&lt;80, "Verde", F10&lt;90, "Azul", TRUE, "Quênia")</f>
        <v>Azul</v>
      </c>
      <c r="H10" s="62" cm="1">
        <f t="array" ref="H10">_xlfn.IFS(F10&lt;70, 0, F10&lt;80, 1600, F10&lt;90, 2400, TRUE, 3200)</f>
        <v>2400</v>
      </c>
    </row>
    <row r="11" spans="1:8" x14ac:dyDescent="0.3">
      <c r="A11" t="s">
        <v>20</v>
      </c>
      <c r="B11" s="47">
        <v>71</v>
      </c>
      <c r="C11" s="47">
        <v>1</v>
      </c>
      <c r="D11" s="60"/>
      <c r="E11" s="60"/>
      <c r="F11" s="61">
        <f t="shared" si="0"/>
        <v>71</v>
      </c>
      <c r="G11" s="60" t="str" cm="1">
        <f t="array" ref="G11">_xlfn.IFS(F11&lt;70, "Branco", F11&lt;80, "Verde", F11&lt;90, "Azul", TRUE, "Quênia")</f>
        <v>Verde</v>
      </c>
      <c r="H11" s="62" cm="1">
        <f t="array" ref="H11">_xlfn.IFS(F11&lt;70, 0, F11&lt;80, 1600, F11&lt;90, 2400, TRUE, 3200)</f>
        <v>1600</v>
      </c>
    </row>
    <row r="12" spans="1:8" x14ac:dyDescent="0.3">
      <c r="A12" t="s">
        <v>8</v>
      </c>
      <c r="B12" s="47">
        <v>162</v>
      </c>
      <c r="C12" s="47">
        <v>2</v>
      </c>
      <c r="D12" s="60"/>
      <c r="E12" s="60"/>
      <c r="F12" s="61">
        <f t="shared" si="0"/>
        <v>81</v>
      </c>
      <c r="G12" s="60" t="str" cm="1">
        <f t="array" ref="G12">_xlfn.IFS(F12&lt;70, "Branco", F12&lt;80, "Verde", F12&lt;90, "Azul", TRUE, "Quênia")</f>
        <v>Azul</v>
      </c>
      <c r="H12" s="62" cm="1">
        <f t="array" ref="H12">_xlfn.IFS(F12&lt;70, 0, F12&lt;80, 1600, F12&lt;90, 2400, TRUE, 3200)</f>
        <v>2400</v>
      </c>
    </row>
    <row r="13" spans="1:8" x14ac:dyDescent="0.3">
      <c r="A13" t="s">
        <v>9</v>
      </c>
      <c r="B13" s="47">
        <v>85</v>
      </c>
      <c r="C13" s="47">
        <v>1</v>
      </c>
      <c r="D13" s="60"/>
      <c r="E13" s="60"/>
      <c r="F13" s="61">
        <f t="shared" si="0"/>
        <v>85</v>
      </c>
      <c r="G13" s="60" t="str" cm="1">
        <f t="array" ref="G13">_xlfn.IFS(F13&lt;70, "Branco", F13&lt;80, "Verde", F13&lt;90, "Azul", TRUE, "Quênia")</f>
        <v>Azul</v>
      </c>
      <c r="H13" s="62" cm="1">
        <f t="array" ref="H13">_xlfn.IFS(F13&lt;70, 0, F13&lt;80, 1600, F13&lt;90, 2400, TRUE, 3200)</f>
        <v>2400</v>
      </c>
    </row>
    <row r="14" spans="1:8" x14ac:dyDescent="0.3">
      <c r="A14" t="s">
        <v>10</v>
      </c>
      <c r="B14" s="47">
        <v>150</v>
      </c>
      <c r="C14" s="47">
        <v>2</v>
      </c>
      <c r="D14" s="60"/>
      <c r="E14" s="60"/>
      <c r="F14" s="61">
        <f t="shared" si="0"/>
        <v>75</v>
      </c>
      <c r="G14" s="60" t="str" cm="1">
        <f t="array" ref="G14">_xlfn.IFS(F14&lt;70, "Branco", F14&lt;80, "Verde", F14&lt;90, "Azul", TRUE, "Quênia")</f>
        <v>Verde</v>
      </c>
      <c r="H14" s="62" cm="1">
        <f t="array" ref="H14">_xlfn.IFS(F14&lt;70, 0, F14&lt;80, 1600, F14&lt;90, 2400, TRUE, 3200)</f>
        <v>1600</v>
      </c>
    </row>
    <row r="15" spans="1:8" x14ac:dyDescent="0.3">
      <c r="A15" t="s">
        <v>21</v>
      </c>
      <c r="B15" s="47">
        <v>153</v>
      </c>
      <c r="C15" s="47">
        <v>2</v>
      </c>
      <c r="D15" s="60"/>
      <c r="E15" s="60"/>
      <c r="F15" s="61">
        <f t="shared" si="0"/>
        <v>76.5</v>
      </c>
      <c r="G15" s="60" t="str" cm="1">
        <f t="array" ref="G15">_xlfn.IFS(F15&lt;70, "Branco", F15&lt;80, "Verde", F15&lt;90, "Azul", TRUE, "Quênia")</f>
        <v>Verde</v>
      </c>
      <c r="H15" s="62" cm="1">
        <f t="array" ref="H15">_xlfn.IFS(F15&lt;70, 0, F15&lt;80, 1600, F15&lt;90, 2400, TRUE, 3200)</f>
        <v>1600</v>
      </c>
    </row>
    <row r="16" spans="1:8" x14ac:dyDescent="0.3">
      <c r="A16" t="s">
        <v>22</v>
      </c>
      <c r="B16" s="47">
        <v>164</v>
      </c>
      <c r="C16" s="47">
        <v>2</v>
      </c>
      <c r="D16" s="60"/>
      <c r="E16" s="60"/>
      <c r="F16" s="61">
        <f t="shared" si="0"/>
        <v>82</v>
      </c>
      <c r="G16" s="60" t="str" cm="1">
        <f t="array" ref="G16">_xlfn.IFS(F16&lt;70, "Branco", F16&lt;80, "Verde", F16&lt;90, "Azul", TRUE, "Quênia")</f>
        <v>Azul</v>
      </c>
      <c r="H16" s="62" cm="1">
        <f t="array" ref="H16">_xlfn.IFS(F16&lt;70, 0, F16&lt;80, 1600, F16&lt;90, 2400, TRUE, 3200)</f>
        <v>2400</v>
      </c>
    </row>
    <row r="17" spans="1:8" x14ac:dyDescent="0.3">
      <c r="A17" t="s">
        <v>11</v>
      </c>
      <c r="B17" s="47">
        <v>154</v>
      </c>
      <c r="C17" s="47">
        <v>2</v>
      </c>
      <c r="D17" s="60"/>
      <c r="E17" s="60"/>
      <c r="F17" s="61">
        <f t="shared" si="0"/>
        <v>77</v>
      </c>
      <c r="G17" s="60" t="str" cm="1">
        <f t="array" ref="G17">_xlfn.IFS(F17&lt;70, "Branco", F17&lt;80, "Verde", F17&lt;90, "Azul", TRUE, "Quênia")</f>
        <v>Verde</v>
      </c>
      <c r="H17" s="62" cm="1">
        <f t="array" ref="H17">_xlfn.IFS(F17&lt;70, 0, F17&lt;80, 1600, F17&lt;90, 2400, TRUE, 3200)</f>
        <v>1600</v>
      </c>
    </row>
    <row r="18" spans="1:8" x14ac:dyDescent="0.3">
      <c r="A18" t="s">
        <v>23</v>
      </c>
      <c r="B18" s="47">
        <v>159</v>
      </c>
      <c r="C18" s="47">
        <v>2</v>
      </c>
      <c r="D18" s="60"/>
      <c r="E18" s="60"/>
      <c r="F18" s="61">
        <f t="shared" si="0"/>
        <v>79.5</v>
      </c>
      <c r="G18" s="60" t="str" cm="1">
        <f t="array" ref="G18">_xlfn.IFS(F18&lt;70, "Branco", F18&lt;80, "Verde", F18&lt;90, "Azul", TRUE, "Quênia")</f>
        <v>Verde</v>
      </c>
      <c r="H18" s="62" cm="1">
        <f t="array" ref="H18">_xlfn.IFS(F18&lt;70, 0, F18&lt;80, 1600, F18&lt;90, 2400, TRUE, 3200)</f>
        <v>1600</v>
      </c>
    </row>
    <row r="19" spans="1:8" x14ac:dyDescent="0.3">
      <c r="A19" t="s">
        <v>24</v>
      </c>
      <c r="B19" s="47">
        <v>169</v>
      </c>
      <c r="C19" s="47">
        <v>2</v>
      </c>
      <c r="D19" s="60"/>
      <c r="E19" s="60"/>
      <c r="F19" s="61">
        <f t="shared" si="0"/>
        <v>84.5</v>
      </c>
      <c r="G19" s="60" t="str" cm="1">
        <f t="array" ref="G19">_xlfn.IFS(F19&lt;70, "Branco", F19&lt;80, "Verde", F19&lt;90, "Azul", TRUE, "Quênia")</f>
        <v>Azul</v>
      </c>
      <c r="H19" s="62" cm="1">
        <f t="array" ref="H19">_xlfn.IFS(F19&lt;70, 0, F19&lt;80, 1600, F19&lt;90, 2400, TRUE, 3200)</f>
        <v>2400</v>
      </c>
    </row>
    <row r="20" spans="1:8" x14ac:dyDescent="0.3">
      <c r="A20" t="s">
        <v>12</v>
      </c>
      <c r="B20" s="47">
        <v>150</v>
      </c>
      <c r="C20" s="47">
        <v>2</v>
      </c>
      <c r="D20" s="60"/>
      <c r="E20" s="60"/>
      <c r="F20" s="61">
        <f t="shared" si="0"/>
        <v>75</v>
      </c>
      <c r="G20" s="60" t="str" cm="1">
        <f t="array" ref="G20">_xlfn.IFS(F20&lt;70, "Branco", F20&lt;80, "Verde", F20&lt;90, "Azul", TRUE, "Quênia")</f>
        <v>Verde</v>
      </c>
      <c r="H20" s="62" cm="1">
        <f t="array" ref="H20">_xlfn.IFS(F20&lt;70, 0, F20&lt;80, 1600, F20&lt;90, 2400, TRUE, 3200)</f>
        <v>1600</v>
      </c>
    </row>
    <row r="21" spans="1:8" x14ac:dyDescent="0.3">
      <c r="A21" t="s">
        <v>25</v>
      </c>
      <c r="B21" s="47">
        <v>162</v>
      </c>
      <c r="C21" s="47">
        <v>2</v>
      </c>
      <c r="D21" s="60"/>
      <c r="E21" s="60"/>
      <c r="F21" s="61">
        <f t="shared" si="0"/>
        <v>81</v>
      </c>
      <c r="G21" s="60" t="str" cm="1">
        <f t="array" ref="G21">_xlfn.IFS(F21&lt;70, "Branco", F21&lt;80, "Verde", F21&lt;90, "Azul", TRUE, "Quênia")</f>
        <v>Azul</v>
      </c>
      <c r="H21" s="62" cm="1">
        <f t="array" ref="H21">_xlfn.IFS(F21&lt;70, 0, F21&lt;80, 1600, F21&lt;90, 2400, TRUE, 3200)</f>
        <v>2400</v>
      </c>
    </row>
    <row r="22" spans="1:8" x14ac:dyDescent="0.3">
      <c r="A22" t="s">
        <v>26</v>
      </c>
      <c r="B22" s="47">
        <v>157</v>
      </c>
      <c r="C22" s="47">
        <v>2</v>
      </c>
      <c r="D22" s="60"/>
      <c r="E22" s="60"/>
      <c r="F22" s="61">
        <f t="shared" si="0"/>
        <v>78.5</v>
      </c>
      <c r="G22" s="60" t="str" cm="1">
        <f t="array" ref="G22">_xlfn.IFS(F22&lt;70, "Branco", F22&lt;80, "Verde", F22&lt;90, "Azul", TRUE, "Quênia")</f>
        <v>Verde</v>
      </c>
      <c r="H22" s="62" cm="1">
        <f t="array" ref="H22">_xlfn.IFS(F22&lt;70, 0, F22&lt;80, 1600, F22&lt;90, 2400, TRUE, 3200)</f>
        <v>1600</v>
      </c>
    </row>
    <row r="23" spans="1:8" x14ac:dyDescent="0.3">
      <c r="A23" t="s">
        <v>15</v>
      </c>
      <c r="B23" s="47">
        <v>163</v>
      </c>
      <c r="C23" s="47">
        <v>2</v>
      </c>
      <c r="D23" s="60"/>
      <c r="E23" s="60"/>
      <c r="F23" s="61">
        <f t="shared" si="0"/>
        <v>81.5</v>
      </c>
      <c r="G23" s="60" t="str" cm="1">
        <f t="array" ref="G23">_xlfn.IFS(F23&lt;70, "Branco", F23&lt;80, "Verde", F23&lt;90, "Azul", TRUE, "Quênia")</f>
        <v>Azul</v>
      </c>
      <c r="H23" s="62" cm="1">
        <f t="array" ref="H23">_xlfn.IFS(F23&lt;70, 0, F23&lt;80, 1600, F23&lt;90, 2400, TRUE, 3200)</f>
        <v>2400</v>
      </c>
    </row>
    <row r="24" spans="1:8" x14ac:dyDescent="0.3">
      <c r="A24" t="s">
        <v>308</v>
      </c>
      <c r="B24" s="47">
        <v>2643</v>
      </c>
      <c r="C24" s="47">
        <v>33</v>
      </c>
      <c r="D24" s="63"/>
      <c r="E24" s="63"/>
      <c r="F24" s="63"/>
      <c r="G24" s="63"/>
      <c r="H24" s="64">
        <f ca="1">SUM(H5:H24)</f>
        <v>37333.333333333336</v>
      </c>
    </row>
  </sheetData>
  <conditionalFormatting sqref="G5:G23">
    <cfRule type="cellIs" dxfId="47" priority="1" operator="equal">
      <formula>"Quênia"</formula>
    </cfRule>
    <cfRule type="cellIs" dxfId="46" priority="2" operator="equal">
      <formula>"Azul"</formula>
    </cfRule>
    <cfRule type="cellIs" dxfId="45" priority="3" operator="equal">
      <formula>"Verde"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DA61-CC49-40C0-A0A1-60FAEEF16945}">
  <sheetPr>
    <tabColor theme="5" tint="0.39997558519241921"/>
  </sheetPr>
  <dimension ref="A1:G11"/>
  <sheetViews>
    <sheetView workbookViewId="0">
      <pane xSplit="1" topLeftCell="B1" activePane="topRight" state="frozen"/>
      <selection pane="topRight" activeCell="H5" sqref="H5"/>
    </sheetView>
  </sheetViews>
  <sheetFormatPr defaultColWidth="19.109375" defaultRowHeight="14.4" x14ac:dyDescent="0.3"/>
  <cols>
    <col min="1" max="1" width="37.44140625" customWidth="1"/>
    <col min="2" max="3" width="18.33203125" customWidth="1"/>
    <col min="4" max="5" width="16.44140625" customWidth="1"/>
  </cols>
  <sheetData>
    <row r="1" spans="1:7" ht="28.8" x14ac:dyDescent="0.3">
      <c r="A1" s="46" t="s">
        <v>309</v>
      </c>
      <c r="B1" s="46" t="s">
        <v>80</v>
      </c>
      <c r="C1" s="46" t="s">
        <v>128</v>
      </c>
      <c r="D1" s="46" t="s">
        <v>211</v>
      </c>
      <c r="E1" s="46" t="s">
        <v>62</v>
      </c>
      <c r="F1" s="46" t="s">
        <v>77</v>
      </c>
      <c r="G1" s="46" t="s">
        <v>98</v>
      </c>
    </row>
    <row r="2" spans="1:7" ht="29.25" customHeight="1" x14ac:dyDescent="0.3">
      <c r="A2" s="70" t="s">
        <v>127</v>
      </c>
      <c r="B2" s="68" t="str">
        <f>IF(COUNTIFS(Forms!$G:$G, $A2, Forms!$H:$H, B$1) &gt; 0, "ok", "pendente")</f>
        <v>ok</v>
      </c>
      <c r="C2" s="68" t="str">
        <f>IF(COUNTIFS(Forms!$G:$G, $A2, Forms!$H:$H, C$1) &gt; 0, "ok", "pendente")</f>
        <v>ok</v>
      </c>
      <c r="D2" s="68" t="str">
        <f>IF(COUNTIFS(Forms!$G:$G, $A2, Forms!$H:$H, D$1) &gt; 0, "ok", "pendente")</f>
        <v>ok</v>
      </c>
      <c r="E2" s="68" t="str">
        <f>IF(COUNTIFS(Forms!$G:$G, $A2, Forms!$H:$H, E$1) &gt; 0, "ok", "pendente")</f>
        <v>ok</v>
      </c>
      <c r="F2" s="68" t="str">
        <f>IF(COUNTIFS(Forms!$G:$G, $A2, Forms!$H:$H, F$1) &gt; 0, "ok", "pendente")</f>
        <v>ok</v>
      </c>
      <c r="G2" s="68" t="str">
        <f>IF(COUNTIFS(Forms!$G:$G, $A2, Forms!$H:$H, G$1) &gt; 0, "ok", "pendente")</f>
        <v>pendente</v>
      </c>
    </row>
    <row r="3" spans="1:7" ht="29.25" customHeight="1" x14ac:dyDescent="0.3">
      <c r="A3" s="70" t="s">
        <v>197</v>
      </c>
      <c r="B3" s="68" t="str">
        <f>IF(COUNTIFS(Forms!$G:$G, $A3, Forms!$H:$H, B$1) &gt; 0, "ok", "pendente")</f>
        <v>ok</v>
      </c>
      <c r="C3" s="68" t="str">
        <f>IF(COUNTIFS(Forms!$G:$G, $A3, Forms!$H:$H, C$1) &gt; 0, "ok", "pendente")</f>
        <v>pendente</v>
      </c>
      <c r="D3" s="68" t="str">
        <f>IF(COUNTIFS(Forms!$G:$G, $A3, Forms!$H:$H, D$1) &gt; 0, "ok", "pendente")</f>
        <v>pendente</v>
      </c>
      <c r="E3" s="68" t="str">
        <f>IF(COUNTIFS(Forms!$G:$G, $A3, Forms!$H:$H, E$1) &gt; 0, "ok", "pendente")</f>
        <v>ok</v>
      </c>
      <c r="F3" s="68" t="str">
        <f>IF(COUNTIFS(Forms!$G:$G, $A3, Forms!$H:$H, F$1) &gt; 0, "ok", "pendente")</f>
        <v>pendente</v>
      </c>
      <c r="G3" s="68" t="str">
        <f>IF(COUNTIFS(Forms!$G:$G, $A3, Forms!$H:$H, G$1) &gt; 0, "ok", "pendente")</f>
        <v>pendente</v>
      </c>
    </row>
    <row r="4" spans="1:7" ht="29.25" customHeight="1" x14ac:dyDescent="0.3">
      <c r="A4" s="70" t="s">
        <v>134</v>
      </c>
      <c r="B4" s="68" t="str">
        <f>IF(COUNTIFS(Forms!$G:$G, $A4, Forms!$H:$H, B$1) &gt; 0, "ok", "pendente")</f>
        <v>ok</v>
      </c>
      <c r="C4" s="68" t="str">
        <f>IF(COUNTIFS(Forms!$G:$G, $A4, Forms!$H:$H, C$1) &gt; 0, "ok", "pendente")</f>
        <v>ok</v>
      </c>
      <c r="D4" s="68" t="str">
        <f>IF(COUNTIFS(Forms!$G:$G, $A4, Forms!$H:$H, D$1) &gt; 0, "ok", "pendente")</f>
        <v>ok</v>
      </c>
      <c r="E4" s="68" t="str">
        <f>IF(COUNTIFS(Forms!$G:$G, $A4, Forms!$H:$H, E$1) &gt; 0, "ok", "pendente")</f>
        <v>ok</v>
      </c>
      <c r="F4" s="68" t="str">
        <f>IF(COUNTIFS(Forms!$G:$G, $A4, Forms!$H:$H, F$1) &gt; 0, "ok", "pendente")</f>
        <v>ok</v>
      </c>
      <c r="G4" s="68" t="str">
        <f>IF(COUNTIFS(Forms!$G:$G, $A4, Forms!$H:$H, G$1) &gt; 0, "ok", "pendente")</f>
        <v>pendente</v>
      </c>
    </row>
    <row r="5" spans="1:7" ht="29.25" customHeight="1" x14ac:dyDescent="0.3">
      <c r="A5" s="70" t="s">
        <v>198</v>
      </c>
      <c r="B5" s="68" t="str">
        <f>IF(COUNTIFS(Forms!$G:$G, $A5, Forms!$H:$H, B$1) &gt; 0, "ok", "pendente")</f>
        <v>ok</v>
      </c>
      <c r="C5" s="68" t="str">
        <f>IF(COUNTIFS(Forms!$G:$G, $A5, Forms!$H:$H, C$1) &gt; 0, "ok", "pendente")</f>
        <v>pendente</v>
      </c>
      <c r="D5" s="68" t="str">
        <f>IF(COUNTIFS(Forms!$G:$G, $A5, Forms!$H:$H, D$1) &gt; 0, "ok", "pendente")</f>
        <v>pendente</v>
      </c>
      <c r="E5" s="68" t="str">
        <f>IF(COUNTIFS(Forms!$G:$G, $A5, Forms!$H:$H, E$1) &gt; 0, "ok", "pendente")</f>
        <v>ok</v>
      </c>
      <c r="F5" s="68" t="str">
        <f>IF(COUNTIFS(Forms!$G:$G, $A5, Forms!$H:$H, F$1) &gt; 0, "ok", "pendente")</f>
        <v>ok</v>
      </c>
      <c r="G5" s="68" t="str">
        <f>IF(COUNTIFS(Forms!$G:$G, $A5, Forms!$H:$H, G$1) &gt; 0, "ok", "pendente")</f>
        <v>pendente</v>
      </c>
    </row>
    <row r="6" spans="1:7" ht="29.25" customHeight="1" x14ac:dyDescent="0.3">
      <c r="A6" s="70" t="s">
        <v>200</v>
      </c>
      <c r="B6" s="68" t="str">
        <f>IF(COUNTIFS(Forms!$G:$G, $A6, Forms!$H:$H, B$1) &gt; 0, "ok", "pendente")</f>
        <v>ok</v>
      </c>
      <c r="C6" s="68" t="str">
        <f>IF(COUNTIFS(Forms!$G:$G, $A6, Forms!$H:$H, C$1) &gt; 0, "ok", "pendente")</f>
        <v>pendente</v>
      </c>
      <c r="D6" s="68" t="str">
        <f>IF(COUNTIFS(Forms!$G:$G, $A6, Forms!$H:$H, D$1) &gt; 0, "ok", "pendente")</f>
        <v>pendente</v>
      </c>
      <c r="E6" s="68" t="str">
        <f>IF(COUNTIFS(Forms!$G:$G, $A6, Forms!$H:$H, E$1) &gt; 0, "ok", "pendente")</f>
        <v>ok</v>
      </c>
      <c r="F6" s="68" t="str">
        <f>IF(COUNTIFS(Forms!$G:$G, $A6, Forms!$H:$H, F$1) &gt; 0, "ok", "pendente")</f>
        <v>pendente</v>
      </c>
      <c r="G6" s="68" t="str">
        <f>IF(COUNTIFS(Forms!$G:$G, $A6, Forms!$H:$H, G$1) &gt; 0, "ok", "pendente")</f>
        <v>pendente</v>
      </c>
    </row>
    <row r="7" spans="1:7" ht="29.25" customHeight="1" x14ac:dyDescent="0.3">
      <c r="A7" s="70" t="s">
        <v>202</v>
      </c>
      <c r="B7" s="68" t="str">
        <f>IF(COUNTIFS(Forms!$G:$G, $A7, Forms!$H:$H, B$1) &gt; 0, "ok", "pendente")</f>
        <v>ok</v>
      </c>
      <c r="C7" s="68" t="str">
        <f>IF(COUNTIFS(Forms!$G:$G, $A7, Forms!$H:$H, C$1) &gt; 0, "ok", "pendente")</f>
        <v>pendente</v>
      </c>
      <c r="D7" s="68" t="str">
        <f>IF(COUNTIFS(Forms!$G:$G, $A7, Forms!$H:$H, D$1) &gt; 0, "ok", "pendente")</f>
        <v>pendente</v>
      </c>
      <c r="E7" s="68" t="str">
        <f>IF(COUNTIFS(Forms!$G:$G, $A7, Forms!$H:$H, E$1) &gt; 0, "ok", "pendente")</f>
        <v>ok</v>
      </c>
      <c r="F7" s="68" t="str">
        <f>IF(COUNTIFS(Forms!$G:$G, $A7, Forms!$H:$H, F$1) &gt; 0, "ok", "pendente")</f>
        <v>pendente</v>
      </c>
      <c r="G7" s="68" t="str">
        <f>IF(COUNTIFS(Forms!$G:$G, $A7, Forms!$H:$H, G$1) &gt; 0, "ok", "pendente")</f>
        <v>pendente</v>
      </c>
    </row>
    <row r="8" spans="1:7" ht="29.25" customHeight="1" x14ac:dyDescent="0.3">
      <c r="A8" s="70" t="s">
        <v>310</v>
      </c>
      <c r="B8" s="68" t="str">
        <f>IF(COUNTIFS(Forms!$G:$G, $A8, Forms!$H:$H, B$1) &gt; 0, "ok", "pendente")</f>
        <v>pendente</v>
      </c>
      <c r="C8" s="68" t="str">
        <f>IF(COUNTIFS(Forms!$G:$G, $A8, Forms!$H:$H, C$1) &gt; 0, "ok", "pendente")</f>
        <v>pendente</v>
      </c>
      <c r="D8" s="68" t="str">
        <f>IF(COUNTIFS(Forms!$G:$G, $A8, Forms!$H:$H, D$1) &gt; 0, "ok", "pendente")</f>
        <v>pendente</v>
      </c>
      <c r="E8" s="68" t="str">
        <f>IF(COUNTIFS(Forms!$G:$G, $A8, Forms!$H:$H, E$1) &gt; 0, "ok", "pendente")</f>
        <v>pendente</v>
      </c>
      <c r="F8" s="68" t="str">
        <f>IF(COUNTIFS(Forms!$G:$G, $A8, Forms!$H:$H, F$1) &gt; 0, "ok", "pendente")</f>
        <v>pendente</v>
      </c>
      <c r="G8" s="68" t="str">
        <f>IF(COUNTIFS(Forms!$G:$G, $A8, Forms!$H:$H, G$1) &gt; 0, "ok", "pendente")</f>
        <v>pendente</v>
      </c>
    </row>
    <row r="9" spans="1:7" ht="29.25" customHeight="1" x14ac:dyDescent="0.3">
      <c r="A9" s="70" t="s">
        <v>203</v>
      </c>
      <c r="B9" s="68" t="str">
        <f>IF(COUNTIFS(Forms!$G:$G, $A9, Forms!$H:$H, B$1) &gt; 0, "ok", "pendente")</f>
        <v>ok</v>
      </c>
      <c r="C9" s="68" t="str">
        <f>IF(COUNTIFS(Forms!$G:$G, $A9, Forms!$H:$H, C$1) &gt; 0, "ok", "pendente")</f>
        <v>pendente</v>
      </c>
      <c r="D9" s="68" t="str">
        <f>IF(COUNTIFS(Forms!$G:$G, $A9, Forms!$H:$H, D$1) &gt; 0, "ok", "pendente")</f>
        <v>pendente</v>
      </c>
      <c r="E9" s="68" t="str">
        <f>IF(COUNTIFS(Forms!$G:$G, $A9, Forms!$H:$H, E$1) &gt; 0, "ok", "pendente")</f>
        <v>pendente</v>
      </c>
      <c r="F9" s="68" t="str">
        <f>IF(COUNTIFS(Forms!$G:$G, $A9, Forms!$H:$H, F$1) &gt; 0, "ok", "pendente")</f>
        <v>pendente</v>
      </c>
      <c r="G9" s="68" t="str">
        <f>IF(COUNTIFS(Forms!$G:$G, $A9, Forms!$H:$H, G$1) &gt; 0, "ok", "pendente")</f>
        <v>pendente</v>
      </c>
    </row>
    <row r="10" spans="1:7" ht="29.25" customHeight="1" x14ac:dyDescent="0.3">
      <c r="A10" s="70" t="s">
        <v>204</v>
      </c>
      <c r="B10" s="68" t="str">
        <f>IF(COUNTIFS(Forms!$G:$G, $A10, Forms!$H:$H, B$1) &gt; 0, "ok", "pendente")</f>
        <v>ok</v>
      </c>
      <c r="C10" s="68" t="str">
        <f>IF(COUNTIFS(Forms!$G:$G, $A10, Forms!$H:$H, C$1) &gt; 0, "ok", "pendente")</f>
        <v>pendente</v>
      </c>
      <c r="D10" s="68" t="str">
        <f>IF(COUNTIFS(Forms!$G:$G, $A10, Forms!$H:$H, D$1) &gt; 0, "ok", "pendente")</f>
        <v>pendente</v>
      </c>
      <c r="E10" s="68" t="str">
        <f>IF(COUNTIFS(Forms!$G:$G, $A10, Forms!$H:$H, E$1) &gt; 0, "ok", "pendente")</f>
        <v>ok</v>
      </c>
      <c r="F10" s="68" t="str">
        <f>IF(COUNTIFS(Forms!$G:$G, $A10, Forms!$H:$H, F$1) &gt; 0, "ok", "pendente")</f>
        <v>pendente</v>
      </c>
      <c r="G10" s="68" t="str">
        <f>IF(COUNTIFS(Forms!$G:$G, $A10, Forms!$H:$H, G$1) &gt; 0, "ok", "pendente")</f>
        <v>pendente</v>
      </c>
    </row>
    <row r="11" spans="1:7" ht="29.25" customHeight="1" x14ac:dyDescent="0.3">
      <c r="A11" s="70" t="s">
        <v>209</v>
      </c>
      <c r="B11" s="68" t="str">
        <f>IF(COUNTIFS(Forms!$G:$G, $A11, Forms!$H:$H, B$1) &gt; 0, "ok", "pendente")</f>
        <v>pendente</v>
      </c>
      <c r="C11" s="68" t="str">
        <f>IF(COUNTIFS(Forms!$G:$G, $A11, Forms!$H:$H, C$1) &gt; 0, "ok", "pendente")</f>
        <v>pendente</v>
      </c>
      <c r="D11" s="68" t="str">
        <f>IF(COUNTIFS(Forms!$G:$G, $A11, Forms!$H:$H, D$1) &gt; 0, "ok", "pendente")</f>
        <v>ok</v>
      </c>
      <c r="E11" s="68" t="str">
        <f>IF(COUNTIFS(Forms!$G:$G, $A11, Forms!$H:$H, E$1) &gt; 0, "ok", "pendente")</f>
        <v>ok</v>
      </c>
      <c r="F11" s="68" t="str">
        <f>IF(COUNTIFS(Forms!$G:$G, $A11, Forms!$H:$H, F$1) &gt; 0, "ok", "pendente")</f>
        <v>pendente</v>
      </c>
      <c r="G11" s="68" t="str">
        <f>IF(COUNTIFS(Forms!$G:$G, $A11, Forms!$H:$H, G$1) &gt; 0, "ok", "pendente")</f>
        <v>ok</v>
      </c>
    </row>
  </sheetData>
  <conditionalFormatting sqref="B2:G27">
    <cfRule type="containsText" dxfId="44" priority="1" operator="containsText" text="pendente">
      <formula>NOT(ISERROR(SEARCH("pendente",B2)))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22A5-DC72-4AB7-AD72-5D401A3DD59A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G15" sqref="G15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76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NIGHT RUN - ETAPA 1 - MARINGÁ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8</v>
      </c>
      <c r="J6" s="88">
        <f t="shared" ref="J6" si="0">I6*H6</f>
        <v>24</v>
      </c>
      <c r="K6" s="89" t="s">
        <v>314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Sem avaliador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/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/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 xml:space="preserve">Agatha 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/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8</v>
      </c>
      <c r="J8" s="102">
        <f>I8*H8</f>
        <v>24</v>
      </c>
      <c r="K8" s="103" t="s">
        <v>315</v>
      </c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/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0</v>
      </c>
      <c r="I9" s="30">
        <f>Q10</f>
        <v>8</v>
      </c>
      <c r="J9" s="102">
        <f>I9*H9</f>
        <v>0</v>
      </c>
      <c r="K9" s="103" t="s">
        <v>317</v>
      </c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 xml:space="preserve">Lucas vicenzo da Silva Proença </v>
      </c>
      <c r="Q9" s="8" cm="1">
        <f t="array" ref="Q9">IFERROR(AVERAGE(_xlfn._xlws.FILTER(Forms!$Q:$Q, (Forms!$G:$G=$C$2) * (Forms!$H:$H=O9))), 0)</f>
        <v>10</v>
      </c>
      <c r="R9" s="149" t="str" cm="1">
        <f t="array" ref="R9">IFERROR(_xlfn.TEXTJOIN("; ", 1, _xlfn._xlws.FILTER(Forms!$R:$R, (Forms!$G:$G=$C$2) * (Forms!$H:$H=O9))), "")</f>
        <v>Entregaram tudo muito bem. Sem problemas.</v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0</v>
      </c>
      <c r="I10" s="31">
        <f>Q11</f>
        <v>4</v>
      </c>
      <c r="J10" s="123">
        <f>I10*H10</f>
        <v>0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Sandro Paiva</v>
      </c>
      <c r="Q10" s="8" cm="1">
        <f t="array" ref="Q10">IFERROR(AVERAGE(_xlfn._xlws.FILTER(Forms!$K:$K, (Forms!$G:$G=$C$2) * (Forms!$H:$H=O10))), 0)</f>
        <v>8</v>
      </c>
      <c r="R10" s="149" t="str" cm="1">
        <f t="array" ref="R10">IFERROR(_xlfn.TEXTJOIN("; ", 1, _xlfn._xlws.FILTER(Forms!$L:$L, (Forms!$G:$G=$C$2) * (Forms!$H:$H=O10))), "")</f>
        <v>Carga voltou adequado.</v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/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80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Sandro Paiva</v>
      </c>
      <c r="Q11" s="35" cm="1">
        <f t="array" ref="Q11">IFERROR(AVERAGE(_xlfn._xlws.FILTER(Forms!$I:$I, (Forms!$G:$G=$C$2) * (Forms!$H:$H=O11))), 0)</f>
        <v>4</v>
      </c>
      <c r="R11" s="153" t="str" cm="1">
        <f t="array" ref="R11">IFERROR(_xlfn.TEXTJOIN("; ", 1, _xlfn._xlws.FILTER(Forms!$J:$J, (Forms!$G:$G=$C$2) * (Forms!$H:$H=O11))), "")</f>
        <v xml:space="preserve">01 carrinho plataforma quebrado, 02 geradores quebrados e estão faltando 03 cavaletes de trânsito. </v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/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133"/>
      <c r="F13" s="183">
        <f>I11+((E10-100)/2.5)</f>
        <v>70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X4:Y5"/>
    <mergeCell ref="U10:V10"/>
    <mergeCell ref="B11:C11"/>
    <mergeCell ref="G11:H11"/>
    <mergeCell ref="U11:U13"/>
    <mergeCell ref="V11:V13"/>
    <mergeCell ref="B13:D13"/>
    <mergeCell ref="F13:I13"/>
    <mergeCell ref="C2:I2"/>
    <mergeCell ref="B3:D3"/>
    <mergeCell ref="G3:K3"/>
    <mergeCell ref="T3:V3"/>
    <mergeCell ref="B4:D4"/>
    <mergeCell ref="G4:K4"/>
    <mergeCell ref="O4:R4"/>
    <mergeCell ref="T4:V4"/>
  </mergeCells>
  <conditionalFormatting sqref="C9">
    <cfRule type="containsText" dxfId="43" priority="1" operator="containsText" text="não">
      <formula>NOT(ISERROR(SEARCH("não",C9)))</formula>
    </cfRule>
    <cfRule type="containsBlanks" dxfId="42" priority="2">
      <formula>LEN(TRIM(C9))=0</formula>
    </cfRule>
  </conditionalFormatting>
  <conditionalFormatting sqref="H6:I10">
    <cfRule type="cellIs" dxfId="41" priority="4" operator="equal">
      <formula>0</formula>
    </cfRule>
  </conditionalFormatting>
  <conditionalFormatting sqref="Q6:Q11">
    <cfRule type="cellIs" dxfId="40" priority="3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7C4B-B79D-4188-ACD2-A83F31F136E9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I11" sqref="I11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35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83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CIRCUITO DE CORRIDAS VALE - SÃO LUÍS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0</v>
      </c>
      <c r="I6" s="29">
        <f>Q6</f>
        <v>0</v>
      </c>
      <c r="J6" s="88">
        <f t="shared" ref="J6" si="0">I6*H6</f>
        <v>0</v>
      </c>
      <c r="K6" s="89" t="s">
        <v>113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FRED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>Sem nota ...foi a carreta que tombou...A carga saiu certinha de Vitória</v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>Sim</v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>Agatha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>Sim</v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9</v>
      </c>
      <c r="J8" s="102">
        <f>I8*H8</f>
        <v>27</v>
      </c>
      <c r="K8" s="103" t="s">
        <v>318</v>
      </c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>Sim</v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0</v>
      </c>
      <c r="I9" s="30">
        <f>Q10</f>
        <v>0</v>
      </c>
      <c r="J9" s="102">
        <f>I9*H9</f>
        <v>0</v>
      </c>
      <c r="K9" s="103" t="s">
        <v>319</v>
      </c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RUBEM ISMAEL VASQUES</v>
      </c>
      <c r="Q9" s="8" cm="1">
        <f t="array" ref="Q9">IFERROR(AVERAGE(_xlfn._xlws.FILTER(Forms!$Q:$Q, (Forms!$G:$G=$C$2) * (Forms!$H:$H=O9))), 0)</f>
        <v>5</v>
      </c>
      <c r="R9" s="149" t="str" cm="1">
        <f t="array" ref="R9">IFERROR(_xlfn.TEXTJOIN("; ", 1, _xlfn._xlws.FILTER(Forms!$R:$R, (Forms!$G:$G=$C$2) * (Forms!$H:$H=O9))), "")</f>
        <v>A ENTREGA POR PARTE DA CENOGRAFIA FOI MUITO BOA, COM TODOS OS PROBLEMAS QUE TIVEMOS COM A CARRETA E O MATERIAL DO JEITO QUE CHEGOU ELES MANDARAM MUITO BEM</v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3</v>
      </c>
      <c r="I10" s="31">
        <v>8</v>
      </c>
      <c r="J10" s="123">
        <f>I10*H10</f>
        <v>24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>nao</v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83.333333333333343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>Sim, houve um grande destaque</v>
      </c>
      <c r="V11" s="178" t="str" cm="1">
        <f t="array" ref="V11">IFERROR(_xlfn.TEXTJOIN("; ", 1, _xlfn._xlws.FILTER(Forms!$AE:$AE, (Forms!$G:$G=$C$2) * (Forms!$H:$H="Cenografia"))), "")</f>
        <v>Bruno Cordeiro - Cenotecnico.... reconstruiu variados tipos de peças que quebraram , ajudou em todos os setores, até bateu grade na madrugada. muito prestativo.</v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133"/>
      <c r="F13" s="183">
        <f>I11+((E10-100)/2.5)</f>
        <v>73.333333333333343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X4:Y5"/>
    <mergeCell ref="U10:V10"/>
    <mergeCell ref="B11:C11"/>
    <mergeCell ref="G11:H11"/>
    <mergeCell ref="U11:U13"/>
    <mergeCell ref="V11:V13"/>
    <mergeCell ref="B13:D13"/>
    <mergeCell ref="F13:I13"/>
    <mergeCell ref="C2:I2"/>
    <mergeCell ref="B3:D3"/>
    <mergeCell ref="G3:K3"/>
    <mergeCell ref="T3:V3"/>
    <mergeCell ref="B4:D4"/>
    <mergeCell ref="G4:K4"/>
    <mergeCell ref="O4:R4"/>
    <mergeCell ref="T4:V4"/>
  </mergeCells>
  <conditionalFormatting sqref="C9">
    <cfRule type="containsText" dxfId="39" priority="1" operator="containsText" text="não">
      <formula>NOT(ISERROR(SEARCH("não",C9)))</formula>
    </cfRule>
    <cfRule type="containsBlanks" dxfId="38" priority="2">
      <formula>LEN(TRIM(C9))=0</formula>
    </cfRule>
  </conditionalFormatting>
  <conditionalFormatting sqref="H6:I10">
    <cfRule type="cellIs" dxfId="37" priority="4" operator="equal">
      <formula>0</formula>
    </cfRule>
  </conditionalFormatting>
  <conditionalFormatting sqref="Q6:Q11">
    <cfRule type="cellIs" dxfId="36" priority="3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A407-4C42-42F9-9BDE-C8ABD256D83C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332031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87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35º TROFÉU BRASIL DE TRIATHLON - ETAPA 2 - 21/06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8</v>
      </c>
      <c r="J6" s="88">
        <f t="shared" ref="J6" si="0">I6*H6</f>
        <v>24</v>
      </c>
      <c r="K6" s="89" t="s">
        <v>314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Sem avaliador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/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/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>Agatha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/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9</v>
      </c>
      <c r="J8" s="102">
        <f>I8*H8</f>
        <v>27</v>
      </c>
      <c r="K8" s="103"/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/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3</v>
      </c>
      <c r="I9" s="30">
        <v>6</v>
      </c>
      <c r="J9" s="102">
        <f>I9*H9</f>
        <v>18</v>
      </c>
      <c r="K9" s="103"/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 xml:space="preserve">Luciano do Nascimento </v>
      </c>
      <c r="Q9" s="8" cm="1">
        <f t="array" ref="Q9">IFERROR(AVERAGE(_xlfn._xlws.FILTER(Forms!$Q:$Q, (Forms!$G:$G=$C$2) * (Forms!$H:$H=O9))), 0)</f>
        <v>10</v>
      </c>
      <c r="R9" s="149" t="str" cm="1">
        <f t="array" ref="R9">IFERROR(_xlfn.TEXTJOIN("; ", 1, _xlfn._xlws.FILTER(Forms!$R:$R, (Forms!$G:$G=$C$2) * (Forms!$H:$H=O9))), "")</f>
        <v>Vou dar 10 para a equipe que trabalhou porém eram 2  marceneiros e só foi 1 esse trabalhou por 2</v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3</v>
      </c>
      <c r="I10" s="31">
        <v>8</v>
      </c>
      <c r="J10" s="123">
        <f>I10*H10</f>
        <v>24</v>
      </c>
      <c r="K10" s="124" t="s">
        <v>320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/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78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/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68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X4:Y5"/>
    <mergeCell ref="U10:V10"/>
    <mergeCell ref="B11:C11"/>
    <mergeCell ref="G11:H11"/>
    <mergeCell ref="U11:U13"/>
    <mergeCell ref="V11:V13"/>
    <mergeCell ref="B13:D13"/>
    <mergeCell ref="F13:I13"/>
    <mergeCell ref="C2:I2"/>
    <mergeCell ref="B3:D3"/>
    <mergeCell ref="G3:K3"/>
    <mergeCell ref="T3:V3"/>
    <mergeCell ref="B4:D4"/>
    <mergeCell ref="G4:K4"/>
    <mergeCell ref="O4:R4"/>
    <mergeCell ref="T4:V4"/>
  </mergeCells>
  <conditionalFormatting sqref="C6:C9">
    <cfRule type="containsText" dxfId="35" priority="1" operator="containsText" text="não">
      <formula>NOT(ISERROR(SEARCH("não",C6)))</formula>
    </cfRule>
    <cfRule type="containsBlanks" dxfId="34" priority="2">
      <formula>LEN(TRIM(C6))=0</formula>
    </cfRule>
  </conditionalFormatting>
  <conditionalFormatting sqref="H6:I10">
    <cfRule type="cellIs" dxfId="33" priority="6" operator="equal">
      <formula>0</formula>
    </cfRule>
  </conditionalFormatting>
  <conditionalFormatting sqref="Q6:Q11">
    <cfRule type="cellIs" dxfId="32" priority="5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6399-4A02-47F3-AA82-94F1A9D7CD30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83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CIRCUITO DE CORRIDAS VALE - SÃO LUÍS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8</v>
      </c>
      <c r="J6" s="88">
        <f t="shared" ref="J6" si="0">I6*H6</f>
        <v>24</v>
      </c>
      <c r="K6" s="89" t="s">
        <v>314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FRED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>Sem nota ...foi a carreta que tombou...A carga saiu certinha de Vitória</v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>Sim</v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>Agatha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>Sim</v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8</v>
      </c>
      <c r="J8" s="102">
        <f>I8*H8</f>
        <v>24</v>
      </c>
      <c r="K8" s="103"/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>Sim</v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0</v>
      </c>
      <c r="I9" s="30">
        <f>Q10</f>
        <v>0</v>
      </c>
      <c r="J9" s="102">
        <f>I9*H9</f>
        <v>0</v>
      </c>
      <c r="K9" s="103" t="s">
        <v>319</v>
      </c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RUBEM ISMAEL VASQUES</v>
      </c>
      <c r="Q9" s="8" cm="1">
        <f t="array" ref="Q9">IFERROR(AVERAGE(_xlfn._xlws.FILTER(Forms!$Q:$Q, (Forms!$G:$G=$C$2) * (Forms!$H:$H=O9))), 0)</f>
        <v>5</v>
      </c>
      <c r="R9" s="149" t="str" cm="1">
        <f t="array" ref="R9">IFERROR(_xlfn.TEXTJOIN("; ", 1, _xlfn._xlws.FILTER(Forms!$R:$R, (Forms!$G:$G=$C$2) * (Forms!$H:$H=O9))), "")</f>
        <v>A ENTREGA POR PARTE DA CENOGRAFIA FOI MUITO BOA, COM TODOS OS PROBLEMAS QUE TIVEMOS COM A CARRETA E O MATERIAL DO JEITO QUE CHEGOU ELES MANDARAM MUITO BEM</v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0</v>
      </c>
      <c r="I10" s="31">
        <f>Q11</f>
        <v>0</v>
      </c>
      <c r="J10" s="123">
        <f>I10*H10</f>
        <v>0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>nao</v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80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>Sim, houve um grande destaque</v>
      </c>
      <c r="V11" s="178" t="str" cm="1">
        <f t="array" ref="V11">IFERROR(_xlfn.TEXTJOIN("; ", 1, _xlfn._xlws.FILTER(Forms!$AE:$AE, (Forms!$G:$G=$C$2) * (Forms!$H:$H="Cenografia"))), "")</f>
        <v>Bruno Cordeiro - Cenotecnico.... reconstruiu variados tipos de peças que quebraram , ajudou em todos os setores, até bateu grade na madrugada. muito prestativo.</v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70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X4:Y5"/>
    <mergeCell ref="U10:V10"/>
    <mergeCell ref="B11:C11"/>
    <mergeCell ref="G11:H11"/>
    <mergeCell ref="U11:U13"/>
    <mergeCell ref="V11:V13"/>
    <mergeCell ref="B13:D13"/>
    <mergeCell ref="F13:I13"/>
    <mergeCell ref="C2:I2"/>
    <mergeCell ref="B3:D3"/>
    <mergeCell ref="G3:K3"/>
    <mergeCell ref="T3:V3"/>
    <mergeCell ref="B4:D4"/>
    <mergeCell ref="G4:K4"/>
    <mergeCell ref="O4:R4"/>
    <mergeCell ref="T4:V4"/>
  </mergeCells>
  <conditionalFormatting sqref="C6:C9">
    <cfRule type="containsText" dxfId="31" priority="1" operator="containsText" text="não">
      <formula>NOT(ISERROR(SEARCH("não",C6)))</formula>
    </cfRule>
    <cfRule type="containsBlanks" dxfId="30" priority="2">
      <formula>LEN(TRIM(C6))=0</formula>
    </cfRule>
  </conditionalFormatting>
  <conditionalFormatting sqref="H6:I10">
    <cfRule type="cellIs" dxfId="29" priority="6" operator="equal">
      <formula>0</formula>
    </cfRule>
  </conditionalFormatting>
  <conditionalFormatting sqref="Q6:Q11">
    <cfRule type="cellIs" dxfId="28" priority="5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0BF3-0ED3-4C59-838D-81F37E7E9D28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/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>
        <f>C2</f>
        <v>0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8</v>
      </c>
      <c r="J6" s="88">
        <f t="shared" ref="J6" si="0">I6*H6</f>
        <v>24</v>
      </c>
      <c r="K6" s="89" t="s">
        <v>314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Sem avaliador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/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/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>Sem avaliador</v>
      </c>
      <c r="Q7" s="8" cm="1">
        <f t="array" ref="Q7">IFERROR(AVERAGE(_xlfn._xlws.FILTER(Forms!$M:$M, (Forms!$G:$G=$C$2) * (Forms!$H:$H=O7))), 0)</f>
        <v>0</v>
      </c>
      <c r="R7" s="149" t="str" cm="1">
        <f t="array" ref="R7">IFERROR(_xlfn.TEXTJOIN("; ", 1, _xlfn._xlws.FILTER(Forms!$N:$N, (Forms!$G:$G=$C$2) * (Forms!$H:$H=O7))), "")</f>
        <v/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/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6</v>
      </c>
      <c r="J8" s="102">
        <f>I8*H8</f>
        <v>18</v>
      </c>
      <c r="K8" s="103" t="s">
        <v>321</v>
      </c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/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3</v>
      </c>
      <c r="I9" s="30">
        <v>7</v>
      </c>
      <c r="J9" s="102">
        <f>I9*H9</f>
        <v>21</v>
      </c>
      <c r="K9" s="103" t="s">
        <v>322</v>
      </c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Sem avaliador</v>
      </c>
      <c r="Q9" s="8" cm="1">
        <f t="array" ref="Q9">IFERROR(AVERAGE(_xlfn._xlws.FILTER(Forms!$Q:$Q, (Forms!$G:$G=$C$2) * (Forms!$H:$H=O9))), 0)</f>
        <v>0</v>
      </c>
      <c r="R9" s="149" t="str" cm="1">
        <f t="array" ref="R9">IFERROR(_xlfn.TEXTJOIN("; ", 1, _xlfn._xlws.FILTER(Forms!$R:$R, (Forms!$G:$G=$C$2) * (Forms!$H:$H=O9))), "")</f>
        <v/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0</v>
      </c>
      <c r="I10" s="31">
        <f>Q11</f>
        <v>0</v>
      </c>
      <c r="J10" s="123">
        <f>I10*H10</f>
        <v>0</v>
      </c>
      <c r="K10" s="124" t="s">
        <v>323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/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72.5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/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62.5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X4:Y5"/>
    <mergeCell ref="U10:V10"/>
    <mergeCell ref="B11:C11"/>
    <mergeCell ref="G11:H11"/>
    <mergeCell ref="U11:U13"/>
    <mergeCell ref="V11:V13"/>
    <mergeCell ref="B13:D13"/>
    <mergeCell ref="F13:I13"/>
    <mergeCell ref="C2:I2"/>
    <mergeCell ref="B3:D3"/>
    <mergeCell ref="G3:K3"/>
    <mergeCell ref="T3:V3"/>
    <mergeCell ref="B4:D4"/>
    <mergeCell ref="G4:K4"/>
    <mergeCell ref="O4:R4"/>
    <mergeCell ref="T4:V4"/>
  </mergeCells>
  <conditionalFormatting sqref="C6:C9">
    <cfRule type="containsText" dxfId="27" priority="1" operator="containsText" text="não">
      <formula>NOT(ISERROR(SEARCH("não",C6)))</formula>
    </cfRule>
    <cfRule type="containsBlanks" dxfId="26" priority="2">
      <formula>LEN(TRIM(C6))=0</formula>
    </cfRule>
  </conditionalFormatting>
  <conditionalFormatting sqref="H6:I10">
    <cfRule type="cellIs" dxfId="25" priority="6" operator="equal">
      <formula>0</formula>
    </cfRule>
  </conditionalFormatting>
  <conditionalFormatting sqref="Q6:Q11">
    <cfRule type="cellIs" dxfId="24" priority="5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7026-F5D1-4EF5-9BEF-45B7A319B31D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90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DESAFIO ENERGIA PETROBRÁS - PASSEIO BIKE - SP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8</v>
      </c>
      <c r="J6" s="88">
        <f t="shared" ref="J6" si="0">I6*H6</f>
        <v>24</v>
      </c>
      <c r="K6" s="89" t="s">
        <v>314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Sem avaliador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/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/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324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 xml:space="preserve">Agatha 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/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8</v>
      </c>
      <c r="J8" s="102">
        <f>I8*H8</f>
        <v>24</v>
      </c>
      <c r="K8" s="103"/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/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3</v>
      </c>
      <c r="I9" s="30">
        <v>8</v>
      </c>
      <c r="J9" s="102">
        <f>I9*H9</f>
        <v>24</v>
      </c>
      <c r="K9" s="103"/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Sem avaliador</v>
      </c>
      <c r="Q9" s="8" cm="1">
        <f t="array" ref="Q9">IFERROR(AVERAGE(_xlfn._xlws.FILTER(Forms!$Q:$Q, (Forms!$G:$G=$C$2) * (Forms!$H:$H=O9))), 0)</f>
        <v>0</v>
      </c>
      <c r="R9" s="149" t="str" cm="1">
        <f t="array" ref="R9">IFERROR(_xlfn.TEXTJOIN("; ", 1, _xlfn._xlws.FILTER(Forms!$R:$R, (Forms!$G:$G=$C$2) * (Forms!$H:$H=O9))), "")</f>
        <v/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3</v>
      </c>
      <c r="I10" s="31">
        <v>8</v>
      </c>
      <c r="J10" s="123">
        <f>I10*H10</f>
        <v>24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/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80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/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70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C2:I2"/>
    <mergeCell ref="B3:D3"/>
    <mergeCell ref="G3:K3"/>
    <mergeCell ref="T3:V3"/>
    <mergeCell ref="B4:D4"/>
    <mergeCell ref="G4:K4"/>
    <mergeCell ref="O4:R4"/>
    <mergeCell ref="T4:V4"/>
    <mergeCell ref="X4:Y5"/>
    <mergeCell ref="U10:V10"/>
    <mergeCell ref="B11:C11"/>
    <mergeCell ref="G11:H11"/>
    <mergeCell ref="U11:U13"/>
    <mergeCell ref="V11:V13"/>
    <mergeCell ref="B13:D13"/>
    <mergeCell ref="F13:I13"/>
  </mergeCells>
  <conditionalFormatting sqref="C6:C9">
    <cfRule type="containsText" dxfId="23" priority="1" operator="containsText" text="não">
      <formula>NOT(ISERROR(SEARCH("não",C6)))</formula>
    </cfRule>
    <cfRule type="containsBlanks" dxfId="22" priority="2">
      <formula>LEN(TRIM(C6))=0</formula>
    </cfRule>
  </conditionalFormatting>
  <conditionalFormatting sqref="H6:I10">
    <cfRule type="cellIs" dxfId="21" priority="6" operator="equal">
      <formula>0</formula>
    </cfRule>
  </conditionalFormatting>
  <conditionalFormatting sqref="Q6:Q11">
    <cfRule type="cellIs" dxfId="20" priority="5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E76B-4C3C-49EC-B429-1BE501447C70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91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C.E. INVERNO - FORTALEZA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6</v>
      </c>
      <c r="J6" s="88">
        <f t="shared" ref="J6" si="0">I6*H6</f>
        <v>18</v>
      </c>
      <c r="K6" s="89" t="s">
        <v>325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Sem avaliador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/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/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 xml:space="preserve">Agatha 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/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8</v>
      </c>
      <c r="J8" s="102">
        <f>I8*H8</f>
        <v>24</v>
      </c>
      <c r="K8" s="103" t="s">
        <v>326</v>
      </c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/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0</v>
      </c>
      <c r="I9" s="30">
        <f>Q10</f>
        <v>0</v>
      </c>
      <c r="J9" s="102">
        <f>I9*H9</f>
        <v>0</v>
      </c>
      <c r="K9" s="103" t="s">
        <v>319</v>
      </c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Renan Mota</v>
      </c>
      <c r="Q9" s="8" cm="1">
        <f t="array" ref="Q9">IFERROR(AVERAGE(_xlfn._xlws.FILTER(Forms!$Q:$Q, (Forms!$G:$G=$C$2) * (Forms!$H:$H=O9))), 0)</f>
        <v>10</v>
      </c>
      <c r="R9" s="149" t="str" cm="1">
        <f t="array" ref="R9">IFERROR(_xlfn.TEXTJOIN("; ", 1, _xlfn._xlws.FILTER(Forms!$R:$R, (Forms!$G:$G=$C$2) * (Forms!$H:$H=O9))), "")</f>
        <v xml:space="preserve">Atendeu conforme o Cronograma , </v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0</v>
      </c>
      <c r="I10" s="31">
        <f>Q11</f>
        <v>0</v>
      </c>
      <c r="J10" s="123">
        <f>I10*H10</f>
        <v>0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/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73.333333333333329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/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63.333333333333329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C2:I2"/>
    <mergeCell ref="B3:D3"/>
    <mergeCell ref="G3:K3"/>
    <mergeCell ref="T3:V3"/>
    <mergeCell ref="B4:D4"/>
    <mergeCell ref="G4:K4"/>
    <mergeCell ref="O4:R4"/>
    <mergeCell ref="T4:V4"/>
    <mergeCell ref="X4:Y5"/>
    <mergeCell ref="U10:V10"/>
    <mergeCell ref="B11:C11"/>
    <mergeCell ref="G11:H11"/>
    <mergeCell ref="U11:U13"/>
    <mergeCell ref="V11:V13"/>
    <mergeCell ref="B13:D13"/>
    <mergeCell ref="F13:I13"/>
  </mergeCells>
  <conditionalFormatting sqref="C6:C9">
    <cfRule type="containsText" dxfId="19" priority="1" operator="containsText" text="não">
      <formula>NOT(ISERROR(SEARCH("não",C6)))</formula>
    </cfRule>
    <cfRule type="containsBlanks" dxfId="18" priority="2">
      <formula>LEN(TRIM(C6))=0</formula>
    </cfRule>
  </conditionalFormatting>
  <conditionalFormatting sqref="H6:I10">
    <cfRule type="cellIs" dxfId="17" priority="6" operator="equal">
      <formula>0</formula>
    </cfRule>
  </conditionalFormatting>
  <conditionalFormatting sqref="Q6:Q11">
    <cfRule type="cellIs" dxfId="16" priority="5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D74C-B913-4AC4-ADE3-FFB9AAA5A64B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85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SÓ QUERO PEDALAR - RECIFE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8</v>
      </c>
      <c r="J6" s="88">
        <f t="shared" ref="J6" si="0">I6*H6</f>
        <v>24</v>
      </c>
      <c r="K6" s="89"/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Sem avaliador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/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/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 xml:space="preserve">Agatha 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/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8</v>
      </c>
      <c r="J8" s="102">
        <f>I8*H8</f>
        <v>24</v>
      </c>
      <c r="K8" s="103" t="s">
        <v>327</v>
      </c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/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0</v>
      </c>
      <c r="I9" s="30">
        <f>Q10</f>
        <v>0</v>
      </c>
      <c r="J9" s="102">
        <f>I9*H9</f>
        <v>0</v>
      </c>
      <c r="K9" s="103" t="s">
        <v>328</v>
      </c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Leonardo Almeida</v>
      </c>
      <c r="Q9" s="8" cm="1">
        <f t="array" ref="Q9">IFERROR(AVERAGE(_xlfn._xlws.FILTER(Forms!$Q:$Q, (Forms!$G:$G=$C$2) * (Forms!$H:$H=O9))), 0)</f>
        <v>10</v>
      </c>
      <c r="R9" s="149" t="str" cm="1">
        <f t="array" ref="R9">IFERROR(_xlfn.TEXTJOIN("; ", 1, _xlfn._xlws.FILTER(Forms!$R:$R, (Forms!$G:$G=$C$2) * (Forms!$H:$H=O9))), "")</f>
        <v>Equipe bem responsavel e dedicada.</v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0</v>
      </c>
      <c r="I10" s="31">
        <f>Q11</f>
        <v>0</v>
      </c>
      <c r="J10" s="123">
        <f>I10*H10</f>
        <v>0</v>
      </c>
      <c r="K10" s="124" t="s">
        <v>319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/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80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/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70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C2:I2"/>
    <mergeCell ref="B3:D3"/>
    <mergeCell ref="G3:K3"/>
    <mergeCell ref="T3:V3"/>
    <mergeCell ref="B4:D4"/>
    <mergeCell ref="G4:K4"/>
    <mergeCell ref="O4:R4"/>
    <mergeCell ref="T4:V4"/>
    <mergeCell ref="X4:Y5"/>
    <mergeCell ref="U10:V10"/>
    <mergeCell ref="B11:C11"/>
    <mergeCell ref="G11:H11"/>
    <mergeCell ref="U11:U13"/>
    <mergeCell ref="V11:V13"/>
    <mergeCell ref="B13:D13"/>
    <mergeCell ref="F13:I13"/>
  </mergeCells>
  <conditionalFormatting sqref="C6:C9">
    <cfRule type="containsText" dxfId="15" priority="1" operator="containsText" text="não">
      <formula>NOT(ISERROR(SEARCH("não",C6)))</formula>
    </cfRule>
    <cfRule type="containsBlanks" dxfId="14" priority="2">
      <formula>LEN(TRIM(C6))=0</formula>
    </cfRule>
  </conditionalFormatting>
  <conditionalFormatting sqref="H6:I10">
    <cfRule type="cellIs" dxfId="13" priority="6" operator="equal">
      <formula>0</formula>
    </cfRule>
  </conditionalFormatting>
  <conditionalFormatting sqref="Q6:Q11">
    <cfRule type="cellIs" dxfId="12" priority="5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04E7-5EFF-447B-819A-1C0A4E9E0BC7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92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C.E. INVERNO - SÃO JOSÉ DOS CAMPOS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">
        <v>63</v>
      </c>
      <c r="D6" s="85" t="str">
        <f>V6</f>
        <v>Todos estavam com EPi</v>
      </c>
      <c r="E6" s="86">
        <f>IF(C6="sim",25,0)</f>
        <v>25</v>
      </c>
      <c r="F6" s="72"/>
      <c r="G6" s="87" t="s">
        <v>47</v>
      </c>
      <c r="H6" s="88">
        <v>3</v>
      </c>
      <c r="I6" s="29">
        <f>Q6</f>
        <v>8</v>
      </c>
      <c r="J6" s="88">
        <f t="shared" ref="J6" si="0">I6*H6</f>
        <v>24</v>
      </c>
      <c r="K6" s="89" t="s">
        <v>329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Jeferson da costa lima</v>
      </c>
      <c r="Q6" s="34" cm="1">
        <f t="array" ref="Q6">IFERROR(AVERAGE(_xlfn._xlws.FILTER(Forms!$U:$U, (Forms!$G:$G=$C$2) * (Forms!$H:$H=O6))), 0)</f>
        <v>8</v>
      </c>
      <c r="R6" s="146" t="str" cm="1">
        <f t="array" ref="R6">IFERROR(_xlfn.TEXTJOIN("; ", 1, _xlfn._xlws.FILTER(Forms!$V:$V, (Forms!$G:$G=$C$2) * (Forms!$H:$H=O6))), "")</f>
        <v>Carga muito bem feita e dividida</v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>Sim</v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>Todos estavam com EPi</v>
      </c>
      <c r="W6" s="72"/>
      <c r="X6" s="96"/>
      <c r="Y6" s="97">
        <f t="shared" ref="Y6:Y11" si="1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">
        <v>63</v>
      </c>
      <c r="D7" s="100" t="str">
        <f>V7</f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8</v>
      </c>
      <c r="J7" s="102">
        <f>I7*H7</f>
        <v>24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 xml:space="preserve">Agatha </v>
      </c>
      <c r="Q7" s="8" cm="1">
        <f t="array" ref="Q7">IFERROR(AVERAGE(_xlfn._xlws.FILTER(Forms!$M:$M, (Forms!$G:$G=$C$2) * (Forms!$H:$H=O7))), 0)</f>
        <v>10</v>
      </c>
      <c r="R7" s="149" t="str" cm="1">
        <f t="array" ref="R7">IFERROR(_xlfn.TEXTJOIN("; ", 1, _xlfn._xlws.FILTER(Forms!$N:$N, (Forms!$G:$G=$C$2) * (Forms!$H:$H=O7))), "")</f>
        <v xml:space="preserve">Elogiado pelo cliente 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>Sim</v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1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">
        <v>63</v>
      </c>
      <c r="D8" s="100" t="str">
        <f>V8</f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6</v>
      </c>
      <c r="J8" s="102">
        <f>I8*H8</f>
        <v>18</v>
      </c>
      <c r="K8" s="103" t="s">
        <v>330</v>
      </c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>Sim</v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1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3</v>
      </c>
      <c r="I9" s="30">
        <v>8</v>
      </c>
      <c r="J9" s="102">
        <f>I9*H9</f>
        <v>24</v>
      </c>
      <c r="K9" s="103"/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Sem avaliador</v>
      </c>
      <c r="Q9" s="8" cm="1">
        <f t="array" ref="Q9">IFERROR(AVERAGE(_xlfn._xlws.FILTER(Forms!$Q:$Q, (Forms!$G:$G=$C$2) * (Forms!$H:$H=O9))), 0)</f>
        <v>0</v>
      </c>
      <c r="R9" s="149" t="str" cm="1">
        <f t="array" ref="R9">IFERROR(_xlfn.TEXTJOIN("; ", 1, _xlfn._xlws.FILTER(Forms!$R:$R, (Forms!$G:$G=$C$2) * (Forms!$H:$H=O9))), "")</f>
        <v/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1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3</v>
      </c>
      <c r="I10" s="31">
        <v>8</v>
      </c>
      <c r="J10" s="123">
        <f>I10*H10</f>
        <v>24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 xml:space="preserve">Não </v>
      </c>
      <c r="V10" s="175"/>
      <c r="W10" s="12"/>
      <c r="X10" s="96"/>
      <c r="Y10" s="97">
        <f t="shared" si="1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76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>Não, tudo dentro do padrão esperado.</v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1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66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C2:I2"/>
    <mergeCell ref="B3:D3"/>
    <mergeCell ref="G3:K3"/>
    <mergeCell ref="T3:V3"/>
    <mergeCell ref="B4:D4"/>
    <mergeCell ref="G4:K4"/>
    <mergeCell ref="O4:R4"/>
    <mergeCell ref="T4:V4"/>
    <mergeCell ref="X4:Y5"/>
    <mergeCell ref="U10:V10"/>
    <mergeCell ref="B11:C11"/>
    <mergeCell ref="G11:H11"/>
    <mergeCell ref="U11:U13"/>
    <mergeCell ref="V11:V13"/>
    <mergeCell ref="B13:D13"/>
    <mergeCell ref="F13:I13"/>
  </mergeCells>
  <conditionalFormatting sqref="C6:C9">
    <cfRule type="containsText" dxfId="11" priority="1" operator="containsText" text="não">
      <formula>NOT(ISERROR(SEARCH("não",C6)))</formula>
    </cfRule>
    <cfRule type="containsBlanks" dxfId="10" priority="2">
      <formula>LEN(TRIM(C6))=0</formula>
    </cfRule>
  </conditionalFormatting>
  <conditionalFormatting sqref="H6:I10">
    <cfRule type="cellIs" dxfId="9" priority="6" operator="equal">
      <formula>0</formula>
    </cfRule>
  </conditionalFormatting>
  <conditionalFormatting sqref="Q6:Q11">
    <cfRule type="cellIs" dxfId="8" priority="5" operator="equal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96EA-8991-48ED-A291-7DB0899769B0}">
  <dimension ref="A1:BR60"/>
  <sheetViews>
    <sheetView tabSelected="1" workbookViewId="0">
      <pane xSplit="9" ySplit="2" topLeftCell="K3" activePane="bottomRight" state="frozen"/>
      <selection pane="topRight"/>
      <selection pane="bottomLeft"/>
      <selection pane="bottomRight" activeCell="C9" sqref="C9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5.6640625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43.441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 t="s">
        <v>94</v>
      </c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 t="str">
        <f>C2</f>
        <v>SMART FIT - RIO DE JANEIRO - 21/06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tr">
        <f t="shared" ref="C6:D8" si="0">U6</f>
        <v>Sim</v>
      </c>
      <c r="D6" s="85" t="str">
        <f t="shared" si="0"/>
        <v/>
      </c>
      <c r="E6" s="86">
        <f>IF(C6="sim",25,0)</f>
        <v>25</v>
      </c>
      <c r="F6" s="72"/>
      <c r="G6" s="87" t="s">
        <v>47</v>
      </c>
      <c r="H6" s="88">
        <v>3</v>
      </c>
      <c r="I6" s="29">
        <v>8</v>
      </c>
      <c r="J6" s="88">
        <f t="shared" ref="J6" si="1">I6*H6</f>
        <v>24</v>
      </c>
      <c r="K6" s="89" t="s">
        <v>183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Fernanda Toussaint</v>
      </c>
      <c r="Q6" s="34" cm="1">
        <f t="array" ref="Q6">IFERROR(AVERAGE(_xlfn._xlws.FILTER(Forms!$U:$U, (Forms!$G:$G=$C$2) * (Forms!$H:$H=O6))), 0)</f>
        <v>5</v>
      </c>
      <c r="R6" s="146" t="str" cm="1">
        <f t="array" ref="R6">IFERROR(_xlfn.TEXTJOIN("; ", 1, _xlfn._xlws.FILTER(Forms!$V:$V, (Forms!$G:$G=$C$2) * (Forms!$H:$H=O6))), "")</f>
        <v xml:space="preserve">Faltou peça , conseguimos dar um jeito </v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>Sim</v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2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48" customHeight="1" x14ac:dyDescent="0.3">
      <c r="A7" s="72"/>
      <c r="B7" s="98" t="s">
        <v>51</v>
      </c>
      <c r="C7" s="99" t="str">
        <f t="shared" si="0"/>
        <v>Sim</v>
      </c>
      <c r="D7" s="100" t="str">
        <f t="shared" si="0"/>
        <v/>
      </c>
      <c r="E7" s="86">
        <f>IF(C7="sim",25,0)</f>
        <v>25</v>
      </c>
      <c r="F7" s="72"/>
      <c r="G7" s="101" t="s">
        <v>292</v>
      </c>
      <c r="H7" s="102">
        <v>3</v>
      </c>
      <c r="I7" s="30">
        <v>7</v>
      </c>
      <c r="J7" s="102">
        <f>I7*H7</f>
        <v>21</v>
      </c>
      <c r="K7" s="154" t="s">
        <v>119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>Camilla Lopes Pereira</v>
      </c>
      <c r="Q7" s="8" cm="1">
        <f t="array" ref="Q7">IFERROR(AVERAGE(_xlfn._xlws.FILTER(Forms!$M:$M, (Forms!$G:$G=$C$2) * (Forms!$H:$H=O7))), 0)</f>
        <v>9</v>
      </c>
      <c r="R7" s="149" t="str" cm="1">
        <f t="array" ref="R7">IFERROR(_xlfn.TEXTJOIN("; ", 1, _xlfn._xlws.FILTER(Forms!$N:$N, (Forms!$G:$G=$C$2) * (Forms!$H:$H=O7))), "")</f>
        <v>Não atingiu a nota máxima devido ao estado dos tetos dos stands, principalmente área vip. Marcas brancas com um impacto visual significativo</v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>Sim</v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2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tr">
        <f t="shared" si="0"/>
        <v>Sim</v>
      </c>
      <c r="D8" s="100" t="str">
        <f t="shared" si="0"/>
        <v/>
      </c>
      <c r="E8" s="86">
        <f>IF(C8="sim",25,0)</f>
        <v>25</v>
      </c>
      <c r="F8" s="72"/>
      <c r="G8" s="101" t="s">
        <v>43</v>
      </c>
      <c r="H8" s="102">
        <v>3</v>
      </c>
      <c r="I8" s="30">
        <v>8</v>
      </c>
      <c r="J8" s="102">
        <f>I8*H8</f>
        <v>24</v>
      </c>
      <c r="K8" s="103" t="s">
        <v>95</v>
      </c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>Sim</v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2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150" t="s">
        <v>316</v>
      </c>
      <c r="D9" s="151" t="str">
        <f>V9</f>
        <v/>
      </c>
      <c r="E9" s="86">
        <f>IF(C9="sim",25,0)</f>
        <v>0</v>
      </c>
      <c r="F9" s="72"/>
      <c r="G9" s="101" t="s">
        <v>294</v>
      </c>
      <c r="H9" s="102">
        <v>3</v>
      </c>
      <c r="I9" s="30">
        <v>8</v>
      </c>
      <c r="J9" s="102">
        <f>I9*H9</f>
        <v>24</v>
      </c>
      <c r="K9" s="103"/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 xml:space="preserve">Edney Eduardo de Siqueira </v>
      </c>
      <c r="Q9" s="8" cm="1">
        <f t="array" ref="Q9">IFERROR(AVERAGE(_xlfn._xlws.FILTER(Forms!$Q:$Q, (Forms!$G:$G=$C$2) * (Forms!$H:$H=O9))), 0)</f>
        <v>10</v>
      </c>
      <c r="R9" s="149" t="str" cm="1">
        <f t="array" ref="R9">IFERROR(_xlfn.TEXTJOIN("; ", 1, _xlfn._xlws.FILTER(Forms!$R:$R, (Forms!$G:$G=$C$2) * (Forms!$H:$H=O9))), "")</f>
        <v xml:space="preserve">Equipe bem alinhada e comprometida. </v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2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75</v>
      </c>
      <c r="F10" s="72"/>
      <c r="G10" s="122" t="s">
        <v>35</v>
      </c>
      <c r="H10" s="123">
        <v>3</v>
      </c>
      <c r="I10" s="31">
        <v>8</v>
      </c>
      <c r="J10" s="123">
        <f>I10*H10</f>
        <v>24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 xml:space="preserve">Um freela chegou atrasado por causa de condução </v>
      </c>
      <c r="V10" s="175"/>
      <c r="W10" s="12"/>
      <c r="X10" s="96"/>
      <c r="Y10" s="97">
        <f t="shared" si="2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-10 pontos</v>
      </c>
      <c r="E11" s="72"/>
      <c r="F11" s="72"/>
      <c r="G11" s="176" t="s">
        <v>281</v>
      </c>
      <c r="H11" s="177"/>
      <c r="I11" s="17">
        <f>SUM(J6:J10)/SUM(H6:H10)*10</f>
        <v>78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>Sim, houve um grande destaque</v>
      </c>
      <c r="V11" s="178" t="str" cm="1">
        <f t="array" ref="V11">IFERROR(_xlfn.TEXTJOIN("; ", 1, _xlfn._xlws.FILTER(Forms!$AE:$AE, (Forms!$G:$G=$C$2) * (Forms!$H:$H="Cenografia"))), "")</f>
        <v xml:space="preserve">José Renato precisou construir uma coluna para o estande de 18x6 para colocar no meio entre os bk , não foi enviado e precisou reformar uma madeira velha ou não seria entregue </v>
      </c>
      <c r="W11" s="76"/>
      <c r="X11" s="96"/>
      <c r="Y11" s="97">
        <f t="shared" si="2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68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C2:I2"/>
    <mergeCell ref="B3:D3"/>
    <mergeCell ref="G3:K3"/>
    <mergeCell ref="T3:V3"/>
    <mergeCell ref="B4:D4"/>
    <mergeCell ref="G4:K4"/>
    <mergeCell ref="O4:R4"/>
    <mergeCell ref="T4:V4"/>
    <mergeCell ref="X4:Y5"/>
    <mergeCell ref="U10:V10"/>
    <mergeCell ref="B11:C11"/>
    <mergeCell ref="G11:H11"/>
    <mergeCell ref="U11:U13"/>
    <mergeCell ref="V11:V13"/>
    <mergeCell ref="B13:D13"/>
    <mergeCell ref="F13:I13"/>
  </mergeCells>
  <conditionalFormatting sqref="C6:C9">
    <cfRule type="containsText" dxfId="7" priority="1" operator="containsText" text="não">
      <formula>NOT(ISERROR(SEARCH("não",C6)))</formula>
    </cfRule>
    <cfRule type="containsBlanks" dxfId="6" priority="2">
      <formula>LEN(TRIM(C6))=0</formula>
    </cfRule>
  </conditionalFormatting>
  <conditionalFormatting sqref="H6:I10">
    <cfRule type="cellIs" dxfId="5" priority="4" operator="equal">
      <formula>0</formula>
    </cfRule>
  </conditionalFormatting>
  <conditionalFormatting sqref="Q6:Q11">
    <cfRule type="cellIs" dxfId="4" priority="3" operator="equal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31E9-4D51-41D1-9657-2D2FDBF41F4C}">
  <dimension ref="A1:BR60"/>
  <sheetViews>
    <sheetView workbookViewId="0">
      <pane xSplit="9" ySplit="2" topLeftCell="K3" activePane="bottomRight" state="frozen"/>
      <selection pane="topRight"/>
      <selection pane="bottomLeft"/>
      <selection pane="bottomRight" activeCell="K12" sqref="K12"/>
    </sheetView>
  </sheetViews>
  <sheetFormatPr defaultColWidth="9.109375" defaultRowHeight="14.4" x14ac:dyDescent="0.3"/>
  <cols>
    <col min="1" max="1" width="1" style="6" customWidth="1"/>
    <col min="2" max="2" width="30.88671875" style="6" customWidth="1"/>
    <col min="3" max="3" width="9.88671875" style="6" customWidth="1"/>
    <col min="4" max="4" width="18" style="6" customWidth="1"/>
    <col min="5" max="5" width="8.88671875" style="6" hidden="1" customWidth="1"/>
    <col min="6" max="6" width="1" style="6" customWidth="1"/>
    <col min="7" max="7" width="18.6640625" style="6" customWidth="1"/>
    <col min="8" max="8" width="6.6640625" style="6" customWidth="1"/>
    <col min="9" max="9" width="10.44140625" style="6" customWidth="1"/>
    <col min="10" max="10" width="6.6640625" style="6" hidden="1" customWidth="1"/>
    <col min="11" max="11" width="29.6640625" style="6" customWidth="1"/>
    <col min="12" max="12" width="1.109375" style="6" customWidth="1"/>
    <col min="13" max="13" width="1.6640625" style="28" customWidth="1"/>
    <col min="14" max="14" width="1.109375" style="6" customWidth="1"/>
    <col min="15" max="15" width="15.88671875" style="6" customWidth="1"/>
    <col min="16" max="16" width="20" style="6" customWidth="1"/>
    <col min="17" max="17" width="10.5546875" style="6" customWidth="1"/>
    <col min="18" max="18" width="28.109375" style="6" customWidth="1"/>
    <col min="19" max="19" width="3.109375" style="6" customWidth="1"/>
    <col min="20" max="20" width="30.5546875" style="6" customWidth="1"/>
    <col min="21" max="21" width="11.6640625" style="7" customWidth="1"/>
    <col min="22" max="22" width="19.109375" style="6" customWidth="1"/>
    <col min="23" max="23" width="3" style="6" customWidth="1"/>
    <col min="24" max="24" width="22.88671875" style="6" customWidth="1"/>
    <col min="25" max="25" width="9.33203125" style="6" customWidth="1"/>
    <col min="26" max="16384" width="9.109375" style="6"/>
  </cols>
  <sheetData>
    <row r="1" spans="1:70" ht="6.7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2"/>
      <c r="O1" s="72"/>
      <c r="P1" s="72"/>
      <c r="Q1" s="72"/>
      <c r="R1" s="74"/>
      <c r="S1" s="74"/>
      <c r="T1" s="74"/>
      <c r="U1" s="75"/>
      <c r="V1" s="76"/>
      <c r="W1" s="72"/>
      <c r="X1" s="74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</row>
    <row r="2" spans="1:70" ht="18" x14ac:dyDescent="0.3">
      <c r="A2" s="72"/>
      <c r="B2" s="23" t="s">
        <v>278</v>
      </c>
      <c r="C2" s="155"/>
      <c r="D2" s="156"/>
      <c r="E2" s="156"/>
      <c r="F2" s="156"/>
      <c r="G2" s="156"/>
      <c r="H2" s="156"/>
      <c r="I2" s="156"/>
      <c r="J2" s="32"/>
      <c r="K2" s="33"/>
      <c r="L2" s="77"/>
      <c r="M2" s="78"/>
      <c r="N2" s="77"/>
      <c r="O2" s="77"/>
      <c r="P2" s="77"/>
      <c r="Q2" s="72"/>
      <c r="R2" s="74"/>
      <c r="S2" s="74"/>
      <c r="T2" s="74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</row>
    <row r="3" spans="1:70" x14ac:dyDescent="0.3">
      <c r="A3" s="72"/>
      <c r="B3" s="157">
        <v>1</v>
      </c>
      <c r="C3" s="158"/>
      <c r="D3" s="159"/>
      <c r="E3" s="72"/>
      <c r="F3" s="72"/>
      <c r="G3" s="160">
        <v>2</v>
      </c>
      <c r="H3" s="161"/>
      <c r="I3" s="161"/>
      <c r="J3" s="161"/>
      <c r="K3" s="162"/>
      <c r="L3" s="77"/>
      <c r="M3" s="78"/>
      <c r="N3" s="77"/>
      <c r="O3" s="77"/>
      <c r="P3" s="77"/>
      <c r="Q3" s="77"/>
      <c r="R3" s="77"/>
      <c r="S3" s="77"/>
      <c r="T3" s="163" t="s">
        <v>311</v>
      </c>
      <c r="U3" s="163"/>
      <c r="V3" s="163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</row>
    <row r="4" spans="1:70" ht="16.5" customHeight="1" x14ac:dyDescent="0.3">
      <c r="A4" s="72"/>
      <c r="B4" s="164" t="s">
        <v>280</v>
      </c>
      <c r="C4" s="165"/>
      <c r="D4" s="166"/>
      <c r="E4" s="24"/>
      <c r="F4" s="24"/>
      <c r="G4" s="167" t="s">
        <v>281</v>
      </c>
      <c r="H4" s="165"/>
      <c r="I4" s="165"/>
      <c r="J4" s="165"/>
      <c r="K4" s="168"/>
      <c r="L4" s="77"/>
      <c r="M4" s="78"/>
      <c r="N4" s="77"/>
      <c r="O4" s="169" t="s">
        <v>312</v>
      </c>
      <c r="P4" s="170"/>
      <c r="Q4" s="170"/>
      <c r="R4" s="171"/>
      <c r="S4" s="77"/>
      <c r="T4" s="172" t="s">
        <v>313</v>
      </c>
      <c r="U4" s="172"/>
      <c r="V4" s="172"/>
      <c r="W4" s="72"/>
      <c r="X4" s="173">
        <f>C2</f>
        <v>0</v>
      </c>
      <c r="Y4" s="173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</row>
    <row r="5" spans="1:70" ht="15" customHeight="1" x14ac:dyDescent="0.3">
      <c r="A5" s="72"/>
      <c r="B5" s="44" t="s">
        <v>283</v>
      </c>
      <c r="C5" s="42" t="s">
        <v>284</v>
      </c>
      <c r="D5" s="45" t="s">
        <v>285</v>
      </c>
      <c r="E5" s="72"/>
      <c r="F5" s="72"/>
      <c r="G5" s="18" t="s">
        <v>283</v>
      </c>
      <c r="H5" s="19" t="s">
        <v>286</v>
      </c>
      <c r="I5" s="19" t="s">
        <v>255</v>
      </c>
      <c r="J5" s="19" t="s">
        <v>287</v>
      </c>
      <c r="K5" s="20" t="s">
        <v>285</v>
      </c>
      <c r="L5" s="72"/>
      <c r="M5" s="73"/>
      <c r="N5" s="72"/>
      <c r="O5" s="49" t="s">
        <v>288</v>
      </c>
      <c r="P5" s="50" t="s">
        <v>289</v>
      </c>
      <c r="Q5" s="50" t="s">
        <v>255</v>
      </c>
      <c r="R5" s="48" t="s">
        <v>285</v>
      </c>
      <c r="S5" s="77"/>
      <c r="T5" s="51" t="s">
        <v>283</v>
      </c>
      <c r="U5" s="51" t="s">
        <v>284</v>
      </c>
      <c r="V5" s="51" t="s">
        <v>285</v>
      </c>
      <c r="W5" s="72"/>
      <c r="X5" s="174"/>
      <c r="Y5" s="174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</row>
    <row r="6" spans="1:70" ht="32.25" customHeight="1" x14ac:dyDescent="0.3">
      <c r="A6" s="72"/>
      <c r="B6" s="83" t="s">
        <v>49</v>
      </c>
      <c r="C6" s="84" t="str">
        <f t="shared" ref="C6:D9" si="0">U6</f>
        <v/>
      </c>
      <c r="D6" s="85" t="str">
        <f t="shared" si="0"/>
        <v/>
      </c>
      <c r="E6" s="86">
        <f>IF(C6="sim",25,0)</f>
        <v>0</v>
      </c>
      <c r="F6" s="72"/>
      <c r="G6" s="87" t="s">
        <v>47</v>
      </c>
      <c r="H6" s="88">
        <v>3</v>
      </c>
      <c r="I6" s="29">
        <f>Q6</f>
        <v>0</v>
      </c>
      <c r="J6" s="88">
        <f t="shared" ref="J6" si="1">I6*H6</f>
        <v>0</v>
      </c>
      <c r="K6" s="89" t="s">
        <v>314</v>
      </c>
      <c r="L6" s="72"/>
      <c r="M6" s="73"/>
      <c r="N6" s="72"/>
      <c r="O6" s="90" t="s">
        <v>98</v>
      </c>
      <c r="P6" s="91" t="str" cm="1">
        <f t="array" ref="P6">_xlfn.TEXTJOIN(", ", TRUE, _xlfn._xlws.FILTER(Forms!$F:$F, (Forms!$G:$G=$C$2) * (Forms!$H:$H=O6), "Sem avaliador"))</f>
        <v>Sem avaliador</v>
      </c>
      <c r="Q6" s="34" cm="1">
        <f t="array" ref="Q6">IFERROR(AVERAGE(_xlfn._xlws.FILTER(Forms!$U:$U, (Forms!$G:$G=$C$2) * (Forms!$H:$H=O6))), 0)</f>
        <v>0</v>
      </c>
      <c r="R6" s="146" t="str" cm="1">
        <f t="array" ref="R6">IFERROR(_xlfn.TEXTJOIN("; ", 1, _xlfn._xlws.FILTER(Forms!$V:$V, (Forms!$G:$G=$C$2) * (Forms!$H:$H=O6))), "")</f>
        <v/>
      </c>
      <c r="S6" s="77"/>
      <c r="T6" s="118" t="s">
        <v>49</v>
      </c>
      <c r="U6" s="147" t="str" cm="1">
        <f t="array" ref="U6">IFERROR(_xlfn.TEXTJOIN("; ", 1, _xlfn._xlws.FILTER(Forms!$W:$W, (Forms!$G:$G=$C$2) * (Forms!$H:$H="Cenografia"))), "")</f>
        <v/>
      </c>
      <c r="V6" s="148" t="str" cm="1">
        <f t="array" ref="V6">IFERROR(IF(ROW(A1)&gt;4, "", _xlfn.TEXTJOIN("; ", 1, _xlfn._xlws.FILTER(IF(ROW(A1)=1, Forms!$X:$X, IF(ROW(A1)=2, Forms!$Z:$Z, IF(ROW(A1)=3, Forms!$AB:$AB, Forms!$T:$T))), (Forms!$G:$G=$C$2) * (Forms!$H:$H=IF(ROW(A1)=4, $O$11, $O$6))))), "")</f>
        <v/>
      </c>
      <c r="W6" s="72"/>
      <c r="X6" s="96"/>
      <c r="Y6" s="97">
        <f t="shared" ref="Y6:Y11" si="2">$Q$25</f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</row>
    <row r="7" spans="1:70" ht="32.25" customHeight="1" x14ac:dyDescent="0.3">
      <c r="A7" s="72"/>
      <c r="B7" s="98" t="s">
        <v>51</v>
      </c>
      <c r="C7" s="99" t="str">
        <f t="shared" si="0"/>
        <v/>
      </c>
      <c r="D7" s="100" t="str">
        <f t="shared" si="0"/>
        <v/>
      </c>
      <c r="E7" s="86">
        <f>IF(C7="sim",25,0)</f>
        <v>0</v>
      </c>
      <c r="F7" s="72"/>
      <c r="G7" s="101" t="s">
        <v>292</v>
      </c>
      <c r="H7" s="102">
        <v>3</v>
      </c>
      <c r="I7" s="30">
        <f>(Q7+Q8)/2</f>
        <v>0</v>
      </c>
      <c r="J7" s="102">
        <f>I7*H7</f>
        <v>0</v>
      </c>
      <c r="K7" s="103" t="s">
        <v>314</v>
      </c>
      <c r="L7" s="72"/>
      <c r="M7" s="73"/>
      <c r="N7" s="72"/>
      <c r="O7" s="104" t="s">
        <v>80</v>
      </c>
      <c r="P7" s="105" t="str" cm="1">
        <f t="array" ref="P7">_xlfn.TEXTJOIN(", ", TRUE, _xlfn._xlws.FILTER(Forms!$F:$F, (Forms!$G:$G=$C$2) * (Forms!$H:$H=O7), "Sem avaliador"))</f>
        <v>Sem avaliador</v>
      </c>
      <c r="Q7" s="8" cm="1">
        <f t="array" ref="Q7">IFERROR(AVERAGE(_xlfn._xlws.FILTER(Forms!$M:$M, (Forms!$G:$G=$C$2) * (Forms!$H:$H=O7))), 0)</f>
        <v>0</v>
      </c>
      <c r="R7" s="149" t="str" cm="1">
        <f t="array" ref="R7">IFERROR(_xlfn.TEXTJOIN("; ", 1, _xlfn._xlws.FILTER(Forms!$N:$N, (Forms!$G:$G=$C$2) * (Forms!$H:$H=O7))), "")</f>
        <v/>
      </c>
      <c r="S7" s="77"/>
      <c r="T7" s="118" t="s">
        <v>51</v>
      </c>
      <c r="U7" s="147" t="str" cm="1">
        <f t="array" ref="U7">IFERROR(_xlfn.TEXTJOIN("; ", 1, _xlfn._xlws.FILTER(Forms!$Y:$Y, (Forms!$G:$G=$C$2) * (Forms!$H:$H="Cenografia"))), "")</f>
        <v/>
      </c>
      <c r="V7" s="148" t="str" cm="1">
        <f t="array" ref="V7">IFERROR(IF(ROW(A2)&gt;4, "", _xlfn.TEXTJOIN("; ", 1, _xlfn._xlws.FILTER(IF(ROW(A2)=1, Forms!$X:$X, IF(ROW(A2)=2, Forms!$Z:$Z, IF(ROW(A2)=3, Forms!$AB:$AB, Forms!$T:$T))), (Forms!$G:$G=$C$2) * (Forms!$H:$H=IF(ROW(A2)=4, $O$11, $O$6))))), "")</f>
        <v/>
      </c>
      <c r="W7" s="72"/>
      <c r="X7" s="96"/>
      <c r="Y7" s="97">
        <f t="shared" si="2"/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</row>
    <row r="8" spans="1:70" ht="32.25" customHeight="1" x14ac:dyDescent="0.3">
      <c r="A8" s="72"/>
      <c r="B8" s="110" t="s">
        <v>53</v>
      </c>
      <c r="C8" s="111" t="str">
        <f t="shared" si="0"/>
        <v/>
      </c>
      <c r="D8" s="100" t="str">
        <f t="shared" si="0"/>
        <v/>
      </c>
      <c r="E8" s="86">
        <f>IF(C8="sim",25,0)</f>
        <v>0</v>
      </c>
      <c r="F8" s="72"/>
      <c r="G8" s="101" t="s">
        <v>43</v>
      </c>
      <c r="H8" s="102">
        <v>3</v>
      </c>
      <c r="I8" s="30">
        <f>Q9</f>
        <v>0</v>
      </c>
      <c r="J8" s="102">
        <f>I8*H8</f>
        <v>0</v>
      </c>
      <c r="K8" s="103"/>
      <c r="L8" s="72"/>
      <c r="M8" s="73"/>
      <c r="N8" s="72"/>
      <c r="O8" s="104" t="s">
        <v>128</v>
      </c>
      <c r="P8" s="105" t="str" cm="1">
        <f t="array" ref="P8">_xlfn.TEXTJOIN(", ", TRUE, _xlfn._xlws.FILTER(Forms!$F:$F, (Forms!$G:$G=$C$2) * (Forms!$H:$H=O8), "Sem avaliador"))</f>
        <v>Sem avaliador</v>
      </c>
      <c r="Q8" s="8" cm="1">
        <f t="array" ref="Q8">IFERROR(AVERAGE(_xlfn._xlws.FILTER(Forms!$O:$O, (Forms!$G:$G=$C$2) * (Forms!$H:$H=O8))), 0)</f>
        <v>0</v>
      </c>
      <c r="R8" s="149" t="str" cm="1">
        <f t="array" ref="R8">IFERROR(_xlfn.TEXTJOIN("; ", 1, _xlfn._xlws.FILTER(Forms!$P:$P, (Forms!$G:$G=$C$2) * (Forms!$H:$H=O8))), "")</f>
        <v/>
      </c>
      <c r="S8" s="77"/>
      <c r="T8" s="118" t="s">
        <v>53</v>
      </c>
      <c r="U8" s="147" t="str" cm="1">
        <f t="array" ref="U8">IFERROR(_xlfn.TEXTJOIN("; ", 1, _xlfn._xlws.FILTER(Forms!$AA:$AA, (Forms!$G:$G=$C$2) * (Forms!$H:$H="Cenografia"))), "")</f>
        <v/>
      </c>
      <c r="V8" s="148" t="str" cm="1">
        <f t="array" ref="V8">IFERROR(IF(ROW(#REF!)&gt;4, "", _xlfn.TEXTJOIN("; ", 1, _xlfn._xlws.FILTER(IF(ROW(#REF!)=1, Forms!$X:$X, IF(ROW(#REF!)=2, Forms!$Z:$Z, IF(ROW(#REF!)=3, Forms!$AB:$AB, Forms!$T:$T))), (Forms!$G:$G=$C$2) * (Forms!$H:$H=IF(ROW(#REF!)=4, $O$11, $O$6))))), "")</f>
        <v/>
      </c>
      <c r="W8" s="113"/>
      <c r="X8" s="96"/>
      <c r="Y8" s="97">
        <f t="shared" si="2"/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</row>
    <row r="9" spans="1:70" ht="32.25" customHeight="1" x14ac:dyDescent="0.3">
      <c r="A9" s="72"/>
      <c r="B9" s="98" t="s">
        <v>45</v>
      </c>
      <c r="C9" s="99" t="str">
        <f t="shared" si="0"/>
        <v/>
      </c>
      <c r="D9" s="151" t="str">
        <f t="shared" si="0"/>
        <v/>
      </c>
      <c r="E9" s="86">
        <f>IF(C9="sim",25,0)</f>
        <v>0</v>
      </c>
      <c r="F9" s="72"/>
      <c r="G9" s="101" t="s">
        <v>294</v>
      </c>
      <c r="H9" s="102">
        <v>3</v>
      </c>
      <c r="I9" s="30">
        <f>Q10</f>
        <v>0</v>
      </c>
      <c r="J9" s="102">
        <f>I9*H9</f>
        <v>0</v>
      </c>
      <c r="K9" s="103"/>
      <c r="L9" s="72"/>
      <c r="M9" s="73"/>
      <c r="N9" s="72"/>
      <c r="O9" s="104" t="s">
        <v>77</v>
      </c>
      <c r="P9" s="105" t="str" cm="1">
        <f t="array" ref="P9">_xlfn.TEXTJOIN(", ", TRUE, _xlfn._xlws.FILTER(Forms!$F:$F, (Forms!$G:$G=$C$2) * (Forms!$H:$H=O9), "Sem avaliador"))</f>
        <v>Sem avaliador</v>
      </c>
      <c r="Q9" s="8" cm="1">
        <f t="array" ref="Q9">IFERROR(AVERAGE(_xlfn._xlws.FILTER(Forms!$Q:$Q, (Forms!$G:$G=$C$2) * (Forms!$H:$H=O9))), 0)</f>
        <v>0</v>
      </c>
      <c r="R9" s="149" t="str" cm="1">
        <f t="array" ref="R9">IFERROR(_xlfn.TEXTJOIN("; ", 1, _xlfn._xlws.FILTER(Forms!$R:$R, (Forms!$G:$G=$C$2) * (Forms!$H:$H=O9))), "")</f>
        <v/>
      </c>
      <c r="S9" s="132"/>
      <c r="T9" s="118" t="s">
        <v>45</v>
      </c>
      <c r="U9" s="147" t="str" cm="1">
        <f t="array" ref="U9">IFERROR(_xlfn.TEXTJOIN("; ", 1, _xlfn._xlws.FILTER(Forms!$S:$S, (Forms!$G:$G=$C$2) * (Forms!$H:$H="Ferramentas e Case (Cenografia)"))), "")</f>
        <v/>
      </c>
      <c r="V9" s="148" t="str" cm="1">
        <f t="array" ref="V9">IFERROR(_xlfn.TEXTJOIN("; ", 1, _xlfn._xlws.FILTER(Forms!$T:$T, (Forms!$G:$G=$C$2) * (Forms!$H:$H="Ferramentas e Case (Cenografia)"))), "")</f>
        <v/>
      </c>
      <c r="W9" s="11"/>
      <c r="X9" s="96"/>
      <c r="Y9" s="97">
        <f t="shared" si="2"/>
        <v>0</v>
      </c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</row>
    <row r="10" spans="1:70" ht="32.25" customHeight="1" x14ac:dyDescent="0.3">
      <c r="A10" s="72"/>
      <c r="B10" s="116"/>
      <c r="C10" s="117"/>
      <c r="D10" s="152"/>
      <c r="E10" s="41">
        <f>SUM(E6:E9)</f>
        <v>0</v>
      </c>
      <c r="F10" s="72"/>
      <c r="G10" s="122" t="s">
        <v>35</v>
      </c>
      <c r="H10" s="123">
        <v>3</v>
      </c>
      <c r="I10" s="31">
        <f>Q11</f>
        <v>0</v>
      </c>
      <c r="J10" s="123">
        <f>I10*H10</f>
        <v>0</v>
      </c>
      <c r="K10" s="124" t="s">
        <v>314</v>
      </c>
      <c r="L10" s="72"/>
      <c r="M10" s="73"/>
      <c r="N10" s="72"/>
      <c r="O10" s="104" t="s">
        <v>211</v>
      </c>
      <c r="P10" s="105" t="str" cm="1">
        <f t="array" ref="P10">_xlfn.TEXTJOIN(", ", TRUE, _xlfn._xlws.FILTER(Forms!$F:$F, (Forms!$G:$G=$C$2) * (Forms!$H:$H=O10), "Sem avaliador"))</f>
        <v>Sem avaliador</v>
      </c>
      <c r="Q10" s="8" cm="1">
        <f t="array" ref="Q10">IFERROR(AVERAGE(_xlfn._xlws.FILTER(Forms!$K:$K, (Forms!$G:$G=$C$2) * (Forms!$H:$H=O10))), 0)</f>
        <v>0</v>
      </c>
      <c r="R10" s="149" t="str" cm="1">
        <f t="array" ref="R10">IFERROR(_xlfn.TEXTJOIN("; ", 1, _xlfn._xlws.FILTER(Forms!$L:$L, (Forms!$G:$G=$C$2) * (Forms!$H:$H=O10))), "")</f>
        <v/>
      </c>
      <c r="S10" s="132"/>
      <c r="T10" s="52" t="s">
        <v>295</v>
      </c>
      <c r="U10" s="175" t="str" cm="1">
        <f t="array" ref="U10">IFERROR(_xlfn.TEXTJOIN("; ", 1, _xlfn._xlws.FILTER(Forms!$AC:$AC, (Forms!$G:$G=$C$2) * (Forms!$H:$H="Cenografia"))), "")</f>
        <v/>
      </c>
      <c r="V10" s="175"/>
      <c r="W10" s="12"/>
      <c r="X10" s="96"/>
      <c r="Y10" s="97">
        <f t="shared" si="2"/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</row>
    <row r="11" spans="1:70" ht="32.25" customHeight="1" x14ac:dyDescent="0.3">
      <c r="A11" s="72"/>
      <c r="B11" s="176" t="s">
        <v>280</v>
      </c>
      <c r="C11" s="177"/>
      <c r="D11" s="16" t="str" cm="1">
        <f t="array" ref="D11">_xlfn.IFS(E10=100, "100%", E10=75, "-10 pontos", E10=50, "-20 pontos", E10=25, "-30 pontos", E10=0, "- 40 pontos")</f>
        <v>- 40 pontos</v>
      </c>
      <c r="E11" s="72"/>
      <c r="F11" s="72"/>
      <c r="G11" s="176" t="s">
        <v>281</v>
      </c>
      <c r="H11" s="177"/>
      <c r="I11" s="17">
        <f>SUM(J6:J10)/SUM(H6:H10)*10</f>
        <v>0</v>
      </c>
      <c r="J11" s="72"/>
      <c r="K11" s="76"/>
      <c r="L11" s="72"/>
      <c r="M11" s="73"/>
      <c r="N11" s="72"/>
      <c r="O11" s="125" t="s">
        <v>211</v>
      </c>
      <c r="P11" s="126" t="str" cm="1">
        <f t="array" ref="P11">_xlfn.TEXTJOIN(", ", TRUE, _xlfn._xlws.FILTER(Forms!$F:$F, (Forms!$G:$G=$C$2) * (Forms!$H:$H=O11), "Sem avaliador"))</f>
        <v>Sem avaliador</v>
      </c>
      <c r="Q11" s="35" cm="1">
        <f t="array" ref="Q11">IFERROR(AVERAGE(_xlfn._xlws.FILTER(Forms!$I:$I, (Forms!$G:$G=$C$2) * (Forms!$H:$H=O11))), 0)</f>
        <v>0</v>
      </c>
      <c r="R11" s="153" t="str" cm="1">
        <f t="array" ref="R11">IFERROR(_xlfn.TEXTJOIN("; ", 1, _xlfn._xlws.FILTER(Forms!$J:$J, (Forms!$G:$G=$C$2) * (Forms!$H:$H=O11))), "")</f>
        <v/>
      </c>
      <c r="S11" s="132"/>
      <c r="T11" s="53" t="s">
        <v>296</v>
      </c>
      <c r="U11" s="178" t="str" cm="1">
        <f t="array" ref="U11">IFERROR(_xlfn.TEXTJOIN("; ", 1, _xlfn._xlws.FILTER(Forms!$AD:$AD, (Forms!$G:$G=$C$2) * (Forms!$H:$H="Cenografia"))), "")</f>
        <v/>
      </c>
      <c r="V11" s="178" t="str" cm="1">
        <f t="array" ref="V11">IFERROR(_xlfn.TEXTJOIN("; ", 1, _xlfn._xlws.FILTER(Forms!$AE:$AE, (Forms!$G:$G=$C$2) * (Forms!$H:$H="Cenografia"))), "")</f>
        <v/>
      </c>
      <c r="W11" s="76"/>
      <c r="X11" s="96"/>
      <c r="Y11" s="97">
        <f t="shared" si="2"/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</row>
    <row r="12" spans="1:70" x14ac:dyDescent="0.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130"/>
      <c r="M12" s="131"/>
      <c r="N12" s="130"/>
      <c r="O12" s="132"/>
      <c r="P12" s="132"/>
      <c r="Q12" s="132"/>
      <c r="R12" s="74"/>
      <c r="S12" s="74"/>
      <c r="T12" s="113"/>
      <c r="U12" s="179"/>
      <c r="V12" s="179"/>
      <c r="W12" s="72"/>
      <c r="X12" s="74"/>
      <c r="Y12" s="74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</row>
    <row r="13" spans="1:70" ht="20.25" customHeight="1" x14ac:dyDescent="0.3">
      <c r="A13" s="72"/>
      <c r="B13" s="181" t="s">
        <v>297</v>
      </c>
      <c r="C13" s="182"/>
      <c r="D13" s="182"/>
      <c r="E13" s="72"/>
      <c r="F13" s="183">
        <f>I11+((E10-100)/2.5)</f>
        <v>-40</v>
      </c>
      <c r="G13" s="183"/>
      <c r="H13" s="183"/>
      <c r="I13" s="184"/>
      <c r="J13" s="76"/>
      <c r="K13" s="76"/>
      <c r="L13" s="130"/>
      <c r="M13" s="131"/>
      <c r="N13" s="130"/>
      <c r="O13" s="72"/>
      <c r="P13" s="72"/>
      <c r="Q13" s="72"/>
      <c r="R13" s="72"/>
      <c r="S13" s="72"/>
      <c r="T13" s="113"/>
      <c r="U13" s="180"/>
      <c r="V13" s="180"/>
      <c r="W13" s="72"/>
      <c r="X13" s="74"/>
      <c r="Y13" s="74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</row>
    <row r="14" spans="1:70" ht="23.25" customHeight="1" x14ac:dyDescent="0.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6"/>
      <c r="M14" s="134"/>
      <c r="N14" s="76"/>
      <c r="O14" s="72"/>
      <c r="P14" s="72"/>
      <c r="Q14" s="72"/>
      <c r="R14" s="72"/>
      <c r="S14" s="72"/>
      <c r="T14" s="113"/>
      <c r="U14" s="130"/>
      <c r="V14" s="76"/>
      <c r="W14" s="76"/>
      <c r="X14" s="76"/>
      <c r="Y14" s="113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</row>
    <row r="15" spans="1:70" ht="20.25" customHeigh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6"/>
      <c r="M15" s="134"/>
      <c r="N15" s="76"/>
      <c r="O15" s="72"/>
      <c r="P15" s="72"/>
      <c r="Q15" s="72"/>
      <c r="R15" s="72"/>
      <c r="S15" s="72"/>
      <c r="T15" s="113"/>
      <c r="U15" s="130"/>
      <c r="V15" s="76"/>
      <c r="W15" s="76"/>
      <c r="X15" s="76"/>
      <c r="Y15" s="113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</row>
    <row r="16" spans="1:70" ht="20.2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2"/>
      <c r="O16" s="72"/>
      <c r="P16" s="72"/>
      <c r="Q16" s="72"/>
      <c r="R16" s="113"/>
      <c r="S16" s="113"/>
      <c r="T16" s="113"/>
      <c r="U16" s="130"/>
      <c r="V16" s="76"/>
      <c r="W16" s="76"/>
      <c r="X16" s="113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</row>
    <row r="17" spans="1:70" ht="20.25" customHeight="1" x14ac:dyDescent="0.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4"/>
      <c r="L17" s="72"/>
      <c r="M17" s="73"/>
      <c r="N17" s="72"/>
      <c r="O17" s="72"/>
      <c r="P17" s="72"/>
      <c r="Q17" s="72"/>
      <c r="R17" s="113"/>
      <c r="S17" s="113"/>
      <c r="T17" s="113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</row>
    <row r="18" spans="1:70" s="7" customFormat="1" ht="20.2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135"/>
      <c r="N18" s="75"/>
      <c r="O18" s="75"/>
      <c r="P18" s="75"/>
      <c r="Q18" s="75"/>
      <c r="R18" s="13"/>
      <c r="S18" s="13"/>
      <c r="T18" s="13"/>
      <c r="U18" s="75"/>
      <c r="V18" s="75"/>
      <c r="W18" s="75"/>
      <c r="X18" s="75"/>
      <c r="Y18" s="75"/>
      <c r="Z18" s="75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</row>
    <row r="19" spans="1:70" ht="20.25" customHeight="1" x14ac:dyDescent="0.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2"/>
      <c r="O19" s="13"/>
      <c r="P19" s="72"/>
      <c r="Q19" s="72"/>
      <c r="R19" s="136"/>
      <c r="S19" s="136"/>
      <c r="T19" s="136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</row>
    <row r="20" spans="1:70" ht="20.25" customHeight="1" x14ac:dyDescent="0.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130"/>
      <c r="L20" s="130"/>
      <c r="M20" s="131"/>
      <c r="N20" s="130"/>
      <c r="O20" s="13"/>
      <c r="P20" s="72"/>
      <c r="Q20" s="72"/>
      <c r="R20" s="136"/>
      <c r="S20" s="136"/>
      <c r="T20" s="136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</row>
    <row r="21" spans="1:70" x14ac:dyDescent="0.3">
      <c r="A21" s="72"/>
      <c r="B21" s="72"/>
      <c r="C21" s="72"/>
      <c r="D21" s="72"/>
      <c r="E21" s="72"/>
      <c r="F21" s="72"/>
      <c r="G21" s="72"/>
      <c r="H21" s="72"/>
      <c r="I21" s="72"/>
      <c r="J21" s="113"/>
      <c r="K21" s="72"/>
      <c r="L21" s="130"/>
      <c r="M21" s="131"/>
      <c r="N21" s="130"/>
      <c r="O21" s="13"/>
      <c r="P21" s="72"/>
      <c r="Q21" s="72"/>
      <c r="R21" s="138"/>
      <c r="S21" s="138"/>
      <c r="T21" s="138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</row>
    <row r="22" spans="1:70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130"/>
      <c r="M22" s="131"/>
      <c r="N22" s="130"/>
      <c r="O22" s="72"/>
      <c r="P22" s="13"/>
      <c r="Q22" s="113"/>
      <c r="R22" s="136"/>
      <c r="S22" s="136"/>
      <c r="T22" s="136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</row>
    <row r="23" spans="1:70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130"/>
      <c r="M23" s="131"/>
      <c r="N23" s="130"/>
      <c r="O23" s="13"/>
      <c r="P23" s="13"/>
      <c r="Q23" s="113"/>
      <c r="R23" s="136"/>
      <c r="S23" s="136"/>
      <c r="T23" s="136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</row>
    <row r="24" spans="1:70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130"/>
      <c r="L24" s="130"/>
      <c r="M24" s="131"/>
      <c r="N24" s="130"/>
      <c r="O24" s="13"/>
      <c r="P24" s="13"/>
      <c r="Q24" s="113"/>
      <c r="R24" s="136"/>
      <c r="S24" s="136"/>
      <c r="T24" s="136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</row>
    <row r="25" spans="1:70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130"/>
      <c r="L25" s="72"/>
      <c r="M25" s="73"/>
      <c r="N25" s="72"/>
      <c r="O25" s="72"/>
      <c r="P25" s="72"/>
      <c r="Q25" s="113"/>
      <c r="R25" s="140"/>
      <c r="S25" s="140"/>
      <c r="T25" s="140"/>
      <c r="U25" s="140"/>
      <c r="V25" s="140"/>
      <c r="W25" s="140"/>
      <c r="X25" s="140"/>
      <c r="Y25" s="140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</row>
    <row r="26" spans="1:70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6"/>
      <c r="L26" s="72"/>
      <c r="M26" s="73"/>
      <c r="N26" s="72"/>
      <c r="O26" s="72"/>
      <c r="P26" s="72"/>
      <c r="Q26" s="113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</row>
    <row r="27" spans="1:70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113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</row>
    <row r="28" spans="1:70" ht="15" customHeight="1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113"/>
      <c r="M28" s="141"/>
      <c r="N28" s="113"/>
      <c r="O28" s="72"/>
      <c r="P28" s="72"/>
      <c r="Q28" s="72"/>
      <c r="R28" s="72"/>
      <c r="S28" s="72"/>
      <c r="T28" s="72"/>
      <c r="U28" s="72"/>
      <c r="V28" s="113"/>
      <c r="W28" s="113"/>
      <c r="X28" s="7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</row>
    <row r="29" spans="1:70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2"/>
      <c r="O29" s="72"/>
      <c r="P29" s="72"/>
      <c r="Q29" s="72"/>
      <c r="R29" s="74"/>
      <c r="S29" s="74"/>
      <c r="T29" s="74"/>
      <c r="U29" s="72"/>
      <c r="V29" s="72"/>
      <c r="W29" s="74"/>
      <c r="X29" s="7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</row>
    <row r="30" spans="1:70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2"/>
      <c r="O30" s="72"/>
      <c r="P30" s="72"/>
      <c r="Q30" s="72"/>
      <c r="R30" s="74"/>
      <c r="S30" s="74"/>
      <c r="T30" s="74"/>
      <c r="U30" s="72"/>
      <c r="V30" s="72"/>
      <c r="W30" s="72"/>
      <c r="X30" s="7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</row>
    <row r="31" spans="1:70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2"/>
      <c r="O31" s="72" t="s">
        <v>298</v>
      </c>
      <c r="P31" s="72"/>
      <c r="Q31" s="72"/>
      <c r="R31" s="74"/>
      <c r="S31" s="74"/>
      <c r="T31" s="74"/>
      <c r="U31" s="75"/>
      <c r="V31" s="76"/>
      <c r="W31" s="72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</row>
    <row r="32" spans="1:70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72"/>
      <c r="O32" s="72"/>
      <c r="P32" s="72"/>
      <c r="Q32" s="72"/>
      <c r="R32" s="74"/>
      <c r="S32" s="74"/>
      <c r="T32" s="74"/>
      <c r="U32" s="75"/>
      <c r="V32" s="76"/>
      <c r="W32" s="72"/>
      <c r="X32" s="74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</row>
    <row r="33" spans="1:70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5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</row>
    <row r="34" spans="1:70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5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</row>
    <row r="35" spans="1:70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5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</row>
    <row r="36" spans="1:70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5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</row>
    <row r="37" spans="1:70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5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</row>
    <row r="38" spans="1:70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5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</row>
    <row r="39" spans="1:70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5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0" spans="1:70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5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</row>
    <row r="41" spans="1:70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5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</row>
    <row r="42" spans="1:70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5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</row>
    <row r="43" spans="1:70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5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</row>
    <row r="44" spans="1:70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5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</row>
    <row r="45" spans="1:70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5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</row>
    <row r="46" spans="1:70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5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</row>
    <row r="47" spans="1:70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5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5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27:70" x14ac:dyDescent="0.3"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</row>
    <row r="50" spans="27:70" x14ac:dyDescent="0.3"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</row>
    <row r="51" spans="27:70" x14ac:dyDescent="0.3"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</row>
    <row r="52" spans="27:70" x14ac:dyDescent="0.3"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</row>
    <row r="53" spans="27:70" x14ac:dyDescent="0.3"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</row>
    <row r="54" spans="27:70" x14ac:dyDescent="0.3"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</row>
    <row r="55" spans="27:70" x14ac:dyDescent="0.3"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</row>
    <row r="56" spans="27:70" x14ac:dyDescent="0.3"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</row>
    <row r="57" spans="27:70" x14ac:dyDescent="0.3"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</row>
    <row r="58" spans="27:70" x14ac:dyDescent="0.3"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</row>
    <row r="59" spans="27:70" x14ac:dyDescent="0.3"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</row>
    <row r="60" spans="27:70" x14ac:dyDescent="0.3"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</row>
  </sheetData>
  <mergeCells count="16">
    <mergeCell ref="X4:Y5"/>
    <mergeCell ref="U10:V10"/>
    <mergeCell ref="B11:C11"/>
    <mergeCell ref="G11:H11"/>
    <mergeCell ref="U11:U13"/>
    <mergeCell ref="V11:V13"/>
    <mergeCell ref="B13:D13"/>
    <mergeCell ref="F13:I13"/>
    <mergeCell ref="C2:I2"/>
    <mergeCell ref="B3:D3"/>
    <mergeCell ref="G3:K3"/>
    <mergeCell ref="T3:V3"/>
    <mergeCell ref="B4:D4"/>
    <mergeCell ref="G4:K4"/>
    <mergeCell ref="O4:R4"/>
    <mergeCell ref="T4:V4"/>
  </mergeCells>
  <conditionalFormatting sqref="C6:C9">
    <cfRule type="containsText" dxfId="3" priority="1" operator="containsText" text="não">
      <formula>NOT(ISERROR(SEARCH("não",C6)))</formula>
    </cfRule>
    <cfRule type="containsBlanks" dxfId="2" priority="2">
      <formula>LEN(TRIM(C6))=0</formula>
    </cfRule>
  </conditionalFormatting>
  <conditionalFormatting sqref="H6:I10">
    <cfRule type="cellIs" dxfId="1" priority="4" operator="equal">
      <formula>0</formula>
    </cfRule>
  </conditionalFormatting>
  <conditionalFormatting sqref="Q6:Q11"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INDEX</vt:lpstr>
      <vt:lpstr>Forms</vt:lpstr>
      <vt:lpstr>Ocorrências</vt:lpstr>
      <vt:lpstr>Histórico das Provas</vt:lpstr>
      <vt:lpstr>Matriz modelo</vt:lpstr>
      <vt:lpstr>Matriz</vt:lpstr>
      <vt:lpstr>Tabela</vt:lpstr>
      <vt:lpstr>Pendentes</vt:lpstr>
      <vt:lpstr>Night Maringá</vt:lpstr>
      <vt:lpstr>Vale São Luís</vt:lpstr>
      <vt:lpstr>Trofeu BR</vt:lpstr>
      <vt:lpstr>Inverno Manaus</vt:lpstr>
      <vt:lpstr>Inverno POA</vt:lpstr>
      <vt:lpstr>Petro Bike SP</vt:lpstr>
      <vt:lpstr>Inverno Fortaleza</vt:lpstr>
      <vt:lpstr>Pedalar Recife</vt:lpstr>
      <vt:lpstr>Inverno SJC</vt:lpstr>
      <vt:lpstr>Smart fit RJ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 Neves Araujo</cp:lastModifiedBy>
  <cp:revision/>
  <dcterms:created xsi:type="dcterms:W3CDTF">2026-06-22T13:37:49Z</dcterms:created>
  <dcterms:modified xsi:type="dcterms:W3CDTF">2026-07-03T18:07:03Z</dcterms:modified>
  <cp:category/>
  <cp:contentStatus/>
</cp:coreProperties>
</file>